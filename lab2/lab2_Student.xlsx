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30" yWindow="2730" windowWidth="21600" windowHeight="1129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4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tabSelected="1" workbookViewId="0">
      <selection activeCell="K13" sqref="K13"/>
    </sheetView>
  </sheetViews>
  <sheetFormatPr baseColWidth="8" defaultRowHeight="14.25"/>
  <cols>
    <col width="10.875" customWidth="1" min="4" max="4"/>
    <col width="12" bestFit="1" customWidth="1" min="5" max="6"/>
    <col width="10.125" customWidth="1" min="8" max="8"/>
    <col width="12" bestFit="1" customWidth="1" min="9" max="9"/>
  </cols>
  <sheetData>
    <row r="1">
      <c r="A1" t="inlineStr">
        <is>
          <t>Hàng đợi M/M/n/K/N</t>
        </is>
      </c>
    </row>
    <row r="2">
      <c r="A2" t="inlineStr">
        <is>
          <t>Khởi tạo:</t>
        </is>
      </c>
      <c r="E2" t="inlineStr">
        <is>
          <t>Output:</t>
        </is>
      </c>
    </row>
    <row r="3">
      <c r="A3" t="inlineStr">
        <is>
          <t>A</t>
        </is>
      </c>
      <c r="B3" t="n">
        <v>4</v>
      </c>
      <c r="E3" t="inlineStr">
        <is>
          <t>P{im ser.}</t>
        </is>
      </c>
      <c r="F3" s="6">
        <f>IF($F$9=0,0,SUMIFS($G$11:$G$110,$A$11:$A$110,"&lt;"&amp;$B$4)/$F$9)</f>
        <v/>
      </c>
      <c r="H3" s="6">
        <f>SUMIFS($F$11:$F$110,$A$11:$A$110,$B$6)</f>
        <v/>
      </c>
    </row>
    <row r="4">
      <c r="A4" t="inlineStr">
        <is>
          <t>n</t>
        </is>
      </c>
      <c r="B4" t="n">
        <v>5</v>
      </c>
      <c r="E4" t="inlineStr">
        <is>
          <t>P{del.}</t>
        </is>
      </c>
      <c r="F4" s="6">
        <f>IF($F$9=0,0,SUMIFS($G$11:$G$110,$A$11:$A$110,"&gt;="&amp;$B$4,$A$11:$A$110,"&lt;"&amp;$B$6)/$F$9)</f>
        <v/>
      </c>
      <c r="H4" s="6">
        <f>SUMIFS($F$11:$F$110,$A$11:$A$110,"&gt;="&amp;$B$4,$A$11:$A$110,"&lt;"&amp;$B$6)</f>
        <v/>
      </c>
    </row>
    <row r="5">
      <c r="A5" t="inlineStr">
        <is>
          <t>tm (arrival time)</t>
        </is>
      </c>
      <c r="B5" t="n">
        <v>3</v>
      </c>
      <c r="E5" t="inlineStr">
        <is>
          <t>P{loss}</t>
        </is>
      </c>
      <c r="F5" s="6">
        <f>IF($F$9=0,0,SUMIFS($G$11:$G$110,$A$11:$A$110,$B$6)/$F$9)</f>
        <v/>
      </c>
      <c r="H5" s="6">
        <f>SUMIFS($F$11:$F$110,$A$11:$A$110,"&lt;"&amp;$B$4)</f>
        <v/>
      </c>
    </row>
    <row r="6">
      <c r="A6" t="inlineStr">
        <is>
          <t>K</t>
        </is>
      </c>
      <c r="B6" t="n">
        <v>15</v>
      </c>
    </row>
    <row r="7">
      <c r="A7" t="inlineStr">
        <is>
          <t>N (No. of custumers)</t>
        </is>
      </c>
      <c r="B7" t="n">
        <v>18</v>
      </c>
      <c r="E7" t="inlineStr">
        <is>
          <t>E{q|all state}</t>
        </is>
      </c>
      <c r="F7" s="6">
        <f>SUM(H11:H110)</f>
        <v/>
      </c>
      <c r="H7" s="6">
        <f>IF(SUMIFS($F$11:$F$110,$A$11:$A$110,"&gt;"&amp;$B$4)=0,0,$F$7/SUMIFS($F$11:$F$110,$A$11:$A$110,"&gt;"&amp;$B$4))</f>
        <v/>
      </c>
    </row>
    <row r="8" ht="15" customHeight="1">
      <c r="A8" s="1" t="inlineStr">
        <is>
          <t>λ</t>
        </is>
      </c>
      <c r="B8" s="6">
        <f>B3/B5</f>
        <v/>
      </c>
      <c r="E8" t="inlineStr">
        <is>
          <t>E{x}</t>
        </is>
      </c>
      <c r="F8" s="6">
        <f>SUMPRODUCT(A11:A110,F11:F110)</f>
        <v/>
      </c>
    </row>
    <row r="9" ht="15" customHeight="1">
      <c r="D9" s="7">
        <f>SUM(E11:E110)</f>
        <v/>
      </c>
      <c r="F9" s="8">
        <f>SUM(G11:G110)</f>
        <v/>
      </c>
    </row>
    <row r="10" ht="15" customHeight="1">
      <c r="A10" s="2" t="inlineStr">
        <is>
          <t>x</t>
        </is>
      </c>
      <c r="B10" s="2" t="inlineStr">
        <is>
          <t>q</t>
        </is>
      </c>
      <c r="C10" s="3" t="inlineStr">
        <is>
          <t>λ_x</t>
        </is>
      </c>
      <c r="D10" s="3" t="inlineStr">
        <is>
          <t>μ_x</t>
        </is>
      </c>
      <c r="E10" s="2" t="inlineStr">
        <is>
          <t>T_x</t>
        </is>
      </c>
      <c r="F10" s="2" t="inlineStr">
        <is>
          <t>P_x</t>
        </is>
      </c>
      <c r="G10" s="3" t="inlineStr">
        <is>
          <t>λ_x*P_x</t>
        </is>
      </c>
      <c r="H10" s="3" t="inlineStr">
        <is>
          <t>(x-n)*P(x)</t>
        </is>
      </c>
    </row>
    <row r="11">
      <c r="A11" t="n">
        <v>0</v>
      </c>
      <c r="B11" s="6">
        <f>IF(A11&lt;$B$4,0,A11-$B$4)</f>
        <v/>
      </c>
      <c r="C11" s="6">
        <f>IF(A11&gt;$B$6,0,IF($B$7=0,$B$8,IF(A11&lt;=$B$7,$B$8*($B$7-A11),0)))</f>
        <v/>
      </c>
      <c r="D11" s="6">
        <f>IF(A11&gt;$B$6,0,IF(A11&gt;$B$4,$B$4/$B$5,A11/$B$5))</f>
        <v/>
      </c>
      <c r="E11" s="6">
        <f>1</f>
        <v/>
      </c>
      <c r="F11" s="6">
        <f>IF(A11&gt;$B$6,0,E11/$D$9)</f>
        <v/>
      </c>
      <c r="G11" s="6">
        <f>C11*F11</f>
        <v/>
      </c>
      <c r="H11" s="6">
        <f>B11*F11</f>
        <v/>
      </c>
    </row>
    <row r="12">
      <c r="A12" t="n">
        <v>1</v>
      </c>
      <c r="B12" s="6">
        <f>IF(A12&lt;$B$4,0,A12-$B$4)</f>
        <v/>
      </c>
      <c r="C12" s="6">
        <f>IF(A12&gt;$B$6,0,IF($B$7=0,$B$8,IF(A12&lt;=$B$7,$B$8*($B$7-A12),0)))</f>
        <v/>
      </c>
      <c r="D12" s="6">
        <f>IF(A12&gt;$B$6,0,IF(A12&gt;$B$4,$B$4/$B$5,A12/$B$5))</f>
        <v/>
      </c>
      <c r="E12" s="6">
        <f>IF(A12&gt;$B$6,0,IF(D12&lt;&gt;0,E11*(C11/D12),0))</f>
        <v/>
      </c>
      <c r="F12" s="6">
        <f>IF(A12&gt;$B$6,0,E12/$D$9)</f>
        <v/>
      </c>
      <c r="G12" s="6">
        <f>C12*F12</f>
        <v/>
      </c>
      <c r="H12" s="6">
        <f>B12*F12</f>
        <v/>
      </c>
    </row>
    <row r="13">
      <c r="A13" t="n">
        <v>2</v>
      </c>
      <c r="B13" s="6">
        <f>IF(A13&lt;$B$4,0,A13-$B$4)</f>
        <v/>
      </c>
      <c r="C13" s="6">
        <f>IF(A13&gt;$B$6,0,IF($B$7=0,$B$8,IF(A13&lt;=$B$7,$B$8*($B$7-A13),0)))</f>
        <v/>
      </c>
      <c r="D13" s="6">
        <f>IF(A13&gt;$B$6,0,IF(A13&gt;$B$4,$B$4/$B$5,A13/$B$5))</f>
        <v/>
      </c>
      <c r="E13" s="6">
        <f>IF(A13&gt;$B$6,0,IF(D13&lt;&gt;0,E12*(C12/D13),0))</f>
        <v/>
      </c>
      <c r="F13" s="6">
        <f>IF(A13&gt;$B$6,0,E13/$D$9)</f>
        <v/>
      </c>
      <c r="G13" s="6">
        <f>C13*F13</f>
        <v/>
      </c>
      <c r="H13" s="6">
        <f>B13*F13</f>
        <v/>
      </c>
    </row>
    <row r="14">
      <c r="A14" t="n">
        <v>3</v>
      </c>
      <c r="B14" s="6">
        <f>IF(A14&lt;$B$4,0,A14-$B$4)</f>
        <v/>
      </c>
      <c r="C14" s="6">
        <f>IF(A14&gt;$B$6,0,IF($B$7=0,$B$8,IF(A14&lt;=$B$7,$B$8*($B$7-A14),0)))</f>
        <v/>
      </c>
      <c r="D14" s="6">
        <f>IF(A14&gt;$B$6,0,IF(A14&gt;$B$4,$B$4/$B$5,A14/$B$5))</f>
        <v/>
      </c>
      <c r="E14" s="6">
        <f>IF(A14&gt;$B$6,0,IF(D14&lt;&gt;0,E13*(C13/D14),0))</f>
        <v/>
      </c>
      <c r="F14" s="6">
        <f>IF(A14&gt;$B$6,0,E14/$D$9)</f>
        <v/>
      </c>
      <c r="G14" s="6">
        <f>C14*F14</f>
        <v/>
      </c>
      <c r="H14" s="6">
        <f>B14*F14</f>
        <v/>
      </c>
    </row>
    <row r="15">
      <c r="A15" t="n">
        <v>4</v>
      </c>
      <c r="B15" s="6">
        <f>IF(A15&lt;$B$4,0,A15-$B$4)</f>
        <v/>
      </c>
      <c r="C15" s="6">
        <f>IF(A15&gt;$B$6,0,IF($B$7=0,$B$8,IF(A15&lt;=$B$7,$B$8*($B$7-A15),0)))</f>
        <v/>
      </c>
      <c r="D15" s="6">
        <f>IF(A15&gt;$B$6,0,IF(A15&gt;$B$4,$B$4/$B$5,A15/$B$5))</f>
        <v/>
      </c>
      <c r="E15" s="6">
        <f>IF(A15&gt;$B$6,0,IF(D15&lt;&gt;0,E14*(C14/D15),0))</f>
        <v/>
      </c>
      <c r="F15" s="6">
        <f>IF(A15&gt;$B$6,0,E15/$D$9)</f>
        <v/>
      </c>
      <c r="G15" s="6">
        <f>C15*F15</f>
        <v/>
      </c>
      <c r="H15" s="6">
        <f>B15*F15</f>
        <v/>
      </c>
    </row>
    <row r="16">
      <c r="A16" t="n">
        <v>5</v>
      </c>
      <c r="B16" s="6">
        <f>IF(A16&lt;$B$4,0,A16-$B$4)</f>
        <v/>
      </c>
      <c r="C16" s="6">
        <f>IF(A16&gt;$B$6,0,IF($B$7=0,$B$8,IF(A16&lt;=$B$7,$B$8*($B$7-A16),0)))</f>
        <v/>
      </c>
      <c r="D16" s="6">
        <f>IF(A16&gt;$B$6,0,IF(A16&gt;$B$4,$B$4/$B$5,A16/$B$5))</f>
        <v/>
      </c>
      <c r="E16" s="6">
        <f>IF(A16&gt;$B$6,0,IF(D16&lt;&gt;0,E15*(C15/D16),0))</f>
        <v/>
      </c>
      <c r="F16" s="6">
        <f>IF(A16&gt;$B$6,0,E16/$D$9)</f>
        <v/>
      </c>
      <c r="G16" s="6">
        <f>C16*F16</f>
        <v/>
      </c>
      <c r="H16" s="6">
        <f>B16*F16</f>
        <v/>
      </c>
    </row>
    <row r="17">
      <c r="A17" t="n">
        <v>6</v>
      </c>
      <c r="B17" s="6">
        <f>IF(A17&lt;$B$4,0,A17-$B$4)</f>
        <v/>
      </c>
      <c r="C17" s="6">
        <f>IF(A17&gt;$B$6,0,IF($B$7=0,$B$8,IF(A17&lt;=$B$7,$B$8*($B$7-A17),0)))</f>
        <v/>
      </c>
      <c r="D17" s="6">
        <f>IF(A17&gt;$B$6,0,IF(A17&gt;$B$4,$B$4/$B$5,A17/$B$5))</f>
        <v/>
      </c>
      <c r="E17" s="6">
        <f>IF(A17&gt;$B$6,0,IF(D17&lt;&gt;0,E16*(C16/D17),0))</f>
        <v/>
      </c>
      <c r="F17" s="6">
        <f>IF(A17&gt;$B$6,0,E17/$D$9)</f>
        <v/>
      </c>
      <c r="G17" s="6">
        <f>C17*F17</f>
        <v/>
      </c>
      <c r="H17" s="6">
        <f>B17*F17</f>
        <v/>
      </c>
    </row>
    <row r="18">
      <c r="A18" t="n">
        <v>7</v>
      </c>
      <c r="B18" s="6">
        <f>IF(A18&lt;$B$4,0,A18-$B$4)</f>
        <v/>
      </c>
      <c r="C18" s="6">
        <f>IF(A18&gt;$B$6,0,IF($B$7=0,$B$8,IF(A18&lt;=$B$7,$B$8*($B$7-A18),0)))</f>
        <v/>
      </c>
      <c r="D18" s="6">
        <f>IF(A18&gt;$B$6,0,IF(A18&gt;$B$4,$B$4/$B$5,A18/$B$5))</f>
        <v/>
      </c>
      <c r="E18" s="6">
        <f>IF(A18&gt;$B$6,0,IF(D18&lt;&gt;0,E17*(C17/D18),0))</f>
        <v/>
      </c>
      <c r="F18" s="6">
        <f>IF(A18&gt;$B$6,0,E18/$D$9)</f>
        <v/>
      </c>
      <c r="G18" s="6">
        <f>C18*F18</f>
        <v/>
      </c>
      <c r="H18" s="6">
        <f>B18*F18</f>
        <v/>
      </c>
    </row>
    <row r="19">
      <c r="A19" t="n">
        <v>8</v>
      </c>
      <c r="B19" s="6">
        <f>IF(A19&lt;$B$4,0,A19-$B$4)</f>
        <v/>
      </c>
      <c r="C19" s="6">
        <f>IF(A19&gt;$B$6,0,IF($B$7=0,$B$8,IF(A19&lt;=$B$7,$B$8*($B$7-A19),0)))</f>
        <v/>
      </c>
      <c r="D19" s="6">
        <f>IF(A19&gt;$B$6,0,IF(A19&gt;$B$4,$B$4/$B$5,A19/$B$5))</f>
        <v/>
      </c>
      <c r="E19" s="6">
        <f>IF(A19&gt;$B$6,0,IF(D19&lt;&gt;0,E18*(C18/D19),0))</f>
        <v/>
      </c>
      <c r="F19" s="6">
        <f>IF(A19&gt;$B$6,0,E19/$D$9)</f>
        <v/>
      </c>
      <c r="G19" s="6">
        <f>C19*F19</f>
        <v/>
      </c>
      <c r="H19" s="6">
        <f>B19*F19</f>
        <v/>
      </c>
    </row>
    <row r="20">
      <c r="A20" t="n">
        <v>9</v>
      </c>
      <c r="B20" s="6">
        <f>IF(A20&lt;$B$4,0,A20-$B$4)</f>
        <v/>
      </c>
      <c r="C20" s="6">
        <f>IF(A20&gt;$B$6,0,IF($B$7=0,$B$8,IF(A20&lt;=$B$7,$B$8*($B$7-A20),0)))</f>
        <v/>
      </c>
      <c r="D20" s="6">
        <f>IF(A20&gt;$B$6,0,IF(A20&gt;$B$4,$B$4/$B$5,A20/$B$5))</f>
        <v/>
      </c>
      <c r="E20" s="6">
        <f>IF(A20&gt;$B$6,0,IF(D20&lt;&gt;0,E19*(C19/D20),0))</f>
        <v/>
      </c>
      <c r="F20" s="6">
        <f>IF(A20&gt;$B$6,0,E20/$D$9)</f>
        <v/>
      </c>
      <c r="G20" s="6">
        <f>C20*F20</f>
        <v/>
      </c>
      <c r="H20" s="6">
        <f>B20*F20</f>
        <v/>
      </c>
    </row>
    <row r="21">
      <c r="A21" t="n">
        <v>10</v>
      </c>
      <c r="B21" s="6">
        <f>IF(A21&lt;$B$4,0,A21-$B$4)</f>
        <v/>
      </c>
      <c r="C21" s="6">
        <f>IF(A21&gt;$B$6,0,IF($B$7=0,$B$8,IF(A21&lt;=$B$7,$B$8*($B$7-A21),0)))</f>
        <v/>
      </c>
      <c r="D21" s="6">
        <f>IF(A21&gt;$B$6,0,IF(A21&gt;$B$4,$B$4/$B$5,A21/$B$5))</f>
        <v/>
      </c>
      <c r="E21" s="6">
        <f>IF(A21&gt;$B$6,0,IF(D21&lt;&gt;0,E20*(C20/D21),0))</f>
        <v/>
      </c>
      <c r="F21" s="6">
        <f>IF(A21&gt;$B$6,0,E21/$D$9)</f>
        <v/>
      </c>
      <c r="G21" s="6">
        <f>C21*F21</f>
        <v/>
      </c>
      <c r="H21" s="6">
        <f>B21*F21</f>
        <v/>
      </c>
    </row>
    <row r="22">
      <c r="A22" t="n">
        <v>11</v>
      </c>
      <c r="B22" s="6">
        <f>IF(A22&lt;$B$4,0,A22-$B$4)</f>
        <v/>
      </c>
      <c r="C22" s="6">
        <f>IF(A22&gt;$B$6,0,IF($B$7=0,$B$8,IF(A22&lt;=$B$7,$B$8*($B$7-A22),0)))</f>
        <v/>
      </c>
      <c r="D22" s="6">
        <f>IF(A22&gt;$B$6,0,IF(A22&gt;$B$4,$B$4/$B$5,A22/$B$5))</f>
        <v/>
      </c>
      <c r="E22" s="6">
        <f>IF(A22&gt;$B$6,0,IF(D22&lt;&gt;0,E21*(C21/D22),0))</f>
        <v/>
      </c>
      <c r="F22" s="6">
        <f>IF(A22&gt;$B$6,0,E22/$D$9)</f>
        <v/>
      </c>
      <c r="G22" s="6">
        <f>C22*F22</f>
        <v/>
      </c>
      <c r="H22" s="6">
        <f>B22*F22</f>
        <v/>
      </c>
    </row>
    <row r="23">
      <c r="A23" t="n">
        <v>12</v>
      </c>
      <c r="B23" s="6">
        <f>IF(A23&lt;$B$4,0,A23-$B$4)</f>
        <v/>
      </c>
      <c r="C23" s="6">
        <f>IF(A23&gt;$B$6,0,IF($B$7=0,$B$8,IF(A23&lt;=$B$7,$B$8*($B$7-A23),0)))</f>
        <v/>
      </c>
      <c r="D23" s="6">
        <f>IF(A23&gt;$B$6,0,IF(A23&gt;$B$4,$B$4/$B$5,A23/$B$5))</f>
        <v/>
      </c>
      <c r="E23" s="6">
        <f>IF(A23&gt;$B$6,0,IF(D23&lt;&gt;0,E22*(C22/D23),0))</f>
        <v/>
      </c>
      <c r="F23" s="6">
        <f>IF(A23&gt;$B$6,0,E23/$D$9)</f>
        <v/>
      </c>
      <c r="G23" s="6">
        <f>C23*F23</f>
        <v/>
      </c>
      <c r="H23" s="6">
        <f>B23*F23</f>
        <v/>
      </c>
    </row>
    <row r="24">
      <c r="A24" t="n">
        <v>13</v>
      </c>
      <c r="B24" s="6">
        <f>IF(A24&lt;$B$4,0,A24-$B$4)</f>
        <v/>
      </c>
      <c r="C24" s="6">
        <f>IF(A24&gt;$B$6,0,IF($B$7=0,$B$8,IF(A24&lt;=$B$7,$B$8*($B$7-A24),0)))</f>
        <v/>
      </c>
      <c r="D24" s="6">
        <f>IF(A24&gt;$B$6,0,IF(A24&gt;$B$4,$B$4/$B$5,A24/$B$5))</f>
        <v/>
      </c>
      <c r="E24" s="6">
        <f>IF(A24&gt;$B$6,0,IF(D24&lt;&gt;0,E23*(C23/D24),0))</f>
        <v/>
      </c>
      <c r="F24" s="6">
        <f>IF(A24&gt;$B$6,0,E24/$D$9)</f>
        <v/>
      </c>
      <c r="G24" s="6">
        <f>C24*F24</f>
        <v/>
      </c>
      <c r="H24" s="6">
        <f>B24*F24</f>
        <v/>
      </c>
    </row>
    <row r="25">
      <c r="A25" t="n">
        <v>14</v>
      </c>
      <c r="B25" s="6">
        <f>IF(A25&lt;$B$4,0,A25-$B$4)</f>
        <v/>
      </c>
      <c r="C25" s="6">
        <f>IF(A25&gt;$B$6,0,IF($B$7=0,$B$8,IF(A25&lt;=$B$7,$B$8*($B$7-A25),0)))</f>
        <v/>
      </c>
      <c r="D25" s="6">
        <f>IF(A25&gt;$B$6,0,IF(A25&gt;$B$4,$B$4/$B$5,A25/$B$5))</f>
        <v/>
      </c>
      <c r="E25" s="6">
        <f>IF(A25&gt;$B$6,0,IF(D25&lt;&gt;0,E24*(C24/D25),0))</f>
        <v/>
      </c>
      <c r="F25" s="6">
        <f>IF(A25&gt;$B$6,0,E25/$D$9)</f>
        <v/>
      </c>
      <c r="G25" s="6">
        <f>C25*F25</f>
        <v/>
      </c>
      <c r="H25" s="6">
        <f>B25*F25</f>
        <v/>
      </c>
    </row>
    <row r="26">
      <c r="A26" t="n">
        <v>15</v>
      </c>
      <c r="B26" s="6">
        <f>IF(A26&lt;$B$4,0,A26-$B$4)</f>
        <v/>
      </c>
      <c r="C26" s="6">
        <f>IF(A26&gt;$B$6,0,IF($B$7=0,$B$8,IF(A26&lt;=$B$7,$B$8*($B$7-A26),0)))</f>
        <v/>
      </c>
      <c r="D26" s="6">
        <f>IF(A26&gt;$B$6,0,IF(A26&gt;$B$4,$B$4/$B$5,A26/$B$5))</f>
        <v/>
      </c>
      <c r="E26" s="6">
        <f>IF(A26&gt;$B$6,0,IF(D26&lt;&gt;0,E25*(C25/D26),0))</f>
        <v/>
      </c>
      <c r="F26" s="6">
        <f>IF(A26&gt;$B$6,0,E26/$D$9)</f>
        <v/>
      </c>
      <c r="G26" s="6">
        <f>C26*F26</f>
        <v/>
      </c>
      <c r="H26" s="6">
        <f>B26*F26</f>
        <v/>
      </c>
    </row>
    <row r="27">
      <c r="A27" t="n">
        <v>16</v>
      </c>
      <c r="B27" s="6">
        <f>IF(A27&lt;$B$4,0,A27-$B$4)</f>
        <v/>
      </c>
      <c r="C27" s="6">
        <f>IF(A27&gt;$B$6,0,IF($B$7=0,$B$8,IF(A27&lt;=$B$7,$B$8*($B$7-A27),0)))</f>
        <v/>
      </c>
      <c r="D27" s="6">
        <f>IF(A27&gt;$B$6,0,IF(A27&gt;$B$4,$B$4/$B$5,A27/$B$5))</f>
        <v/>
      </c>
      <c r="E27" s="6">
        <f>IF(A27&gt;$B$6,0,IF(D27&lt;&gt;0,E26*(C26/D27),0))</f>
        <v/>
      </c>
      <c r="F27" s="6">
        <f>IF(A27&gt;$B$6,0,E27/$D$9)</f>
        <v/>
      </c>
      <c r="G27" s="6">
        <f>C27*F27</f>
        <v/>
      </c>
      <c r="H27" s="6">
        <f>B27*F27</f>
        <v/>
      </c>
    </row>
    <row r="28">
      <c r="A28" t="n">
        <v>17</v>
      </c>
      <c r="B28" s="6">
        <f>IF(A28&lt;$B$4,0,A28-$B$4)</f>
        <v/>
      </c>
      <c r="C28" s="6">
        <f>IF(A28&gt;$B$6,0,IF($B$7=0,$B$8,IF(A28&lt;=$B$7,$B$8*($B$7-A28),0)))</f>
        <v/>
      </c>
      <c r="D28" s="6">
        <f>IF(A28&gt;$B$6,0,IF(A28&gt;$B$4,$B$4/$B$5,A28/$B$5))</f>
        <v/>
      </c>
      <c r="E28" s="6">
        <f>IF(A28&gt;$B$6,0,IF(D28&lt;&gt;0,E27*(C27/D28),0))</f>
        <v/>
      </c>
      <c r="F28" s="6">
        <f>IF(A28&gt;$B$6,0,E28/$D$9)</f>
        <v/>
      </c>
      <c r="G28" s="6">
        <f>C28*F28</f>
        <v/>
      </c>
      <c r="H28" s="6">
        <f>B28*F28</f>
        <v/>
      </c>
    </row>
    <row r="29">
      <c r="A29" t="n">
        <v>18</v>
      </c>
      <c r="B29" s="6">
        <f>IF(A29&lt;$B$4,0,A29-$B$4)</f>
        <v/>
      </c>
      <c r="C29" s="6">
        <f>IF(A29&gt;$B$6,0,IF($B$7=0,$B$8,IF(A29&lt;=$B$7,$B$8*($B$7-A29),0)))</f>
        <v/>
      </c>
      <c r="D29" s="6">
        <f>IF(A29&gt;$B$6,0,IF(A29&gt;$B$4,$B$4/$B$5,A29/$B$5))</f>
        <v/>
      </c>
      <c r="E29" s="6">
        <f>IF(A29&gt;$B$6,0,IF(D29&lt;&gt;0,E28*(C28/D29),0))</f>
        <v/>
      </c>
      <c r="F29" s="6">
        <f>IF(A29&gt;$B$6,0,E29/$D$9)</f>
        <v/>
      </c>
      <c r="G29" s="6">
        <f>C29*F29</f>
        <v/>
      </c>
      <c r="H29" s="6">
        <f>B29*F29</f>
        <v/>
      </c>
    </row>
    <row r="30">
      <c r="A30" t="n">
        <v>19</v>
      </c>
      <c r="B30" s="6">
        <f>IF(A30&lt;$B$4,0,A30-$B$4)</f>
        <v/>
      </c>
      <c r="C30" s="6">
        <f>IF(A30&gt;$B$6,0,IF($B$7=0,$B$8,IF(A30&lt;=$B$7,$B$8*($B$7-A30),0)))</f>
        <v/>
      </c>
      <c r="D30" s="6">
        <f>IF(A30&gt;$B$6,0,IF(A30&gt;$B$4,$B$4/$B$5,A30/$B$5))</f>
        <v/>
      </c>
      <c r="E30" s="6">
        <f>IF(A30&gt;$B$6,0,IF(D30&lt;&gt;0,E29*(C29/D30),0))</f>
        <v/>
      </c>
      <c r="F30" s="6">
        <f>IF(A30&gt;$B$6,0,E30/$D$9)</f>
        <v/>
      </c>
      <c r="G30" s="6">
        <f>C30*F30</f>
        <v/>
      </c>
      <c r="H30" s="6">
        <f>B30*F30</f>
        <v/>
      </c>
    </row>
    <row r="31">
      <c r="A31" t="n">
        <v>20</v>
      </c>
      <c r="B31" s="6">
        <f>IF(A31&lt;$B$4,0,A31-$B$4)</f>
        <v/>
      </c>
      <c r="C31" s="6">
        <f>IF(A31&gt;$B$6,0,IF($B$7=0,$B$8,IF(A31&lt;=$B$7,$B$8*($B$7-A31),0)))</f>
        <v/>
      </c>
      <c r="D31" s="6">
        <f>IF(A31&gt;$B$6,0,IF(A31&gt;$B$4,$B$4/$B$5,A31/$B$5))</f>
        <v/>
      </c>
      <c r="E31" s="6">
        <f>IF(A31&gt;$B$6,0,IF(D31&lt;&gt;0,E30*(C30/D31),0))</f>
        <v/>
      </c>
      <c r="F31" s="6">
        <f>IF(A31&gt;$B$6,0,E31/$D$9)</f>
        <v/>
      </c>
      <c r="G31" s="6">
        <f>C31*F31</f>
        <v/>
      </c>
      <c r="H31" s="6">
        <f>B31*F31</f>
        <v/>
      </c>
    </row>
    <row r="32">
      <c r="A32" t="n">
        <v>21</v>
      </c>
      <c r="B32" s="6">
        <f>IF(A32&lt;$B$4,0,A32-$B$4)</f>
        <v/>
      </c>
      <c r="C32" s="6">
        <f>IF(A32&gt;$B$6,0,IF($B$7=0,$B$8,IF(A32&lt;=$B$7,$B$8*($B$7-A32),0)))</f>
        <v/>
      </c>
      <c r="D32" s="6">
        <f>IF(A32&gt;$B$6,0,IF(A32&gt;$B$4,$B$4/$B$5,A32/$B$5))</f>
        <v/>
      </c>
      <c r="E32" s="6">
        <f>IF(A32&gt;$B$6,0,IF(D32&lt;&gt;0,E31*(C31/D32),0))</f>
        <v/>
      </c>
      <c r="F32" s="6">
        <f>IF(A32&gt;$B$6,0,E32/$D$9)</f>
        <v/>
      </c>
      <c r="G32" s="6">
        <f>C32*F32</f>
        <v/>
      </c>
      <c r="H32" s="6">
        <f>B32*F32</f>
        <v/>
      </c>
    </row>
    <row r="33">
      <c r="A33" t="n">
        <v>22</v>
      </c>
      <c r="B33" s="6">
        <f>IF(A33&lt;$B$4,0,A33-$B$4)</f>
        <v/>
      </c>
      <c r="C33" s="6">
        <f>IF(A33&gt;$B$6,0,IF($B$7=0,$B$8,IF(A33&lt;=$B$7,$B$8*($B$7-A33),0)))</f>
        <v/>
      </c>
      <c r="D33" s="6">
        <f>IF(A33&gt;$B$6,0,IF(A33&gt;$B$4,$B$4/$B$5,A33/$B$5))</f>
        <v/>
      </c>
      <c r="E33" s="6">
        <f>IF(A33&gt;$B$6,0,IF(D33&lt;&gt;0,E32*(C32/D33),0))</f>
        <v/>
      </c>
      <c r="F33" s="6">
        <f>IF(A33&gt;$B$6,0,E33/$D$9)</f>
        <v/>
      </c>
      <c r="G33" s="6">
        <f>C33*F33</f>
        <v/>
      </c>
      <c r="H33" s="6">
        <f>B33*F33</f>
        <v/>
      </c>
    </row>
    <row r="34">
      <c r="A34" t="n">
        <v>23</v>
      </c>
      <c r="B34" s="6">
        <f>IF(A34&lt;$B$4,0,A34-$B$4)</f>
        <v/>
      </c>
      <c r="C34" s="6">
        <f>IF(A34&gt;$B$6,0,IF($B$7=0,$B$8,IF(A34&lt;=$B$7,$B$8*($B$7-A34),0)))</f>
        <v/>
      </c>
      <c r="D34" s="6">
        <f>IF(A34&gt;$B$6,0,IF(A34&gt;$B$4,$B$4/$B$5,A34/$B$5))</f>
        <v/>
      </c>
      <c r="E34" s="6">
        <f>IF(A34&gt;$B$6,0,IF(D34&lt;&gt;0,E33*(C33/D34),0))</f>
        <v/>
      </c>
      <c r="F34" s="6">
        <f>IF(A34&gt;$B$6,0,E34/$D$9)</f>
        <v/>
      </c>
      <c r="G34" s="6">
        <f>C34*F34</f>
        <v/>
      </c>
      <c r="H34" s="6">
        <f>B34*F34</f>
        <v/>
      </c>
    </row>
    <row r="35">
      <c r="A35" t="n">
        <v>24</v>
      </c>
      <c r="B35" s="6">
        <f>IF(A35&lt;$B$4,0,A35-$B$4)</f>
        <v/>
      </c>
      <c r="C35" s="6">
        <f>IF(A35&gt;$B$6,0,IF($B$7=0,$B$8,IF(A35&lt;=$B$7,$B$8*($B$7-A35),0)))</f>
        <v/>
      </c>
      <c r="D35" s="6">
        <f>IF(A35&gt;$B$6,0,IF(A35&gt;$B$4,$B$4/$B$5,A35/$B$5))</f>
        <v/>
      </c>
      <c r="E35" s="6">
        <f>IF(A35&gt;$B$6,0,IF(D35&lt;&gt;0,E34*(C34/D35),0))</f>
        <v/>
      </c>
      <c r="F35" s="6">
        <f>IF(A35&gt;$B$6,0,E35/$D$9)</f>
        <v/>
      </c>
      <c r="G35" s="6">
        <f>C35*F35</f>
        <v/>
      </c>
      <c r="H35" s="6">
        <f>B35*F35</f>
        <v/>
      </c>
    </row>
    <row r="36">
      <c r="A36" t="n">
        <v>25</v>
      </c>
      <c r="B36" s="6">
        <f>IF(A36&lt;$B$4,0,A36-$B$4)</f>
        <v/>
      </c>
      <c r="C36" s="6">
        <f>IF(A36&gt;$B$6,0,IF($B$7=0,$B$8,IF(A36&lt;=$B$7,$B$8*($B$7-A36),0)))</f>
        <v/>
      </c>
      <c r="D36" s="6">
        <f>IF(A36&gt;$B$6,0,IF(A36&gt;$B$4,$B$4/$B$5,A36/$B$5))</f>
        <v/>
      </c>
      <c r="E36" s="6">
        <f>IF(A36&gt;$B$6,0,IF(D36&lt;&gt;0,E35*(C35/D36),0))</f>
        <v/>
      </c>
      <c r="F36" s="6">
        <f>IF(A36&gt;$B$6,0,E36/$D$9)</f>
        <v/>
      </c>
      <c r="G36" s="6">
        <f>C36*F36</f>
        <v/>
      </c>
      <c r="H36" s="6">
        <f>B36*F36</f>
        <v/>
      </c>
    </row>
    <row r="37">
      <c r="A37" t="n">
        <v>26</v>
      </c>
      <c r="B37" s="6">
        <f>IF(A37&lt;$B$4,0,A37-$B$4)</f>
        <v/>
      </c>
      <c r="C37" s="6">
        <f>IF(A37&gt;$B$6,0,IF($B$7=0,$B$8,IF(A37&lt;=$B$7,$B$8*($B$7-A37),0)))</f>
        <v/>
      </c>
      <c r="D37" s="6">
        <f>IF(A37&gt;$B$6,0,IF(A37&gt;$B$4,$B$4/$B$5,A37/$B$5))</f>
        <v/>
      </c>
      <c r="E37" s="6">
        <f>IF(A37&gt;$B$6,0,IF(D37&lt;&gt;0,E36*(C36/D37),0))</f>
        <v/>
      </c>
      <c r="F37" s="6">
        <f>IF(A37&gt;$B$6,0,E37/$D$9)</f>
        <v/>
      </c>
      <c r="G37" s="6">
        <f>C37*F37</f>
        <v/>
      </c>
      <c r="H37" s="6">
        <f>B37*F37</f>
        <v/>
      </c>
    </row>
    <row r="38">
      <c r="A38" t="n">
        <v>27</v>
      </c>
      <c r="B38" s="6">
        <f>IF(A38&lt;$B$4,0,A38-$B$4)</f>
        <v/>
      </c>
      <c r="C38" s="6">
        <f>IF(A38&gt;$B$6,0,IF($B$7=0,$B$8,IF(A38&lt;=$B$7,$B$8*($B$7-A38),0)))</f>
        <v/>
      </c>
      <c r="D38" s="6">
        <f>IF(A38&gt;$B$6,0,IF(A38&gt;$B$4,$B$4/$B$5,A38/$B$5))</f>
        <v/>
      </c>
      <c r="E38" s="6">
        <f>IF(A38&gt;$B$6,0,IF(D38&lt;&gt;0,E37*(C37/D38),0))</f>
        <v/>
      </c>
      <c r="F38" s="6">
        <f>IF(A38&gt;$B$6,0,E38/$D$9)</f>
        <v/>
      </c>
      <c r="G38" s="6">
        <f>C38*F38</f>
        <v/>
      </c>
      <c r="H38" s="6">
        <f>B38*F38</f>
        <v/>
      </c>
    </row>
    <row r="39">
      <c r="A39" t="n">
        <v>28</v>
      </c>
      <c r="B39" s="6">
        <f>IF(A39&lt;$B$4,0,A39-$B$4)</f>
        <v/>
      </c>
      <c r="C39" s="6">
        <f>IF(A39&gt;$B$6,0,IF($B$7=0,$B$8,IF(A39&lt;=$B$7,$B$8*($B$7-A39),0)))</f>
        <v/>
      </c>
      <c r="D39" s="6">
        <f>IF(A39&gt;$B$6,0,IF(A39&gt;$B$4,$B$4/$B$5,A39/$B$5))</f>
        <v/>
      </c>
      <c r="E39" s="6">
        <f>IF(A39&gt;$B$6,0,IF(D39&lt;&gt;0,E38*(C38/D39),0))</f>
        <v/>
      </c>
      <c r="F39" s="6">
        <f>IF(A39&gt;$B$6,0,E39/$D$9)</f>
        <v/>
      </c>
      <c r="G39" s="6">
        <f>C39*F39</f>
        <v/>
      </c>
      <c r="H39" s="6">
        <f>B39*F39</f>
        <v/>
      </c>
    </row>
    <row r="40">
      <c r="A40" t="n">
        <v>29</v>
      </c>
      <c r="B40" s="6">
        <f>IF(A40&lt;$B$4,0,A40-$B$4)</f>
        <v/>
      </c>
      <c r="C40" s="6">
        <f>IF(A40&gt;$B$6,0,IF($B$7=0,$B$8,IF(A40&lt;=$B$7,$B$8*($B$7-A40),0)))</f>
        <v/>
      </c>
      <c r="D40" s="6">
        <f>IF(A40&gt;$B$6,0,IF(A40&gt;$B$4,$B$4/$B$5,A40/$B$5))</f>
        <v/>
      </c>
      <c r="E40" s="6">
        <f>IF(A40&gt;$B$6,0,IF(D40&lt;&gt;0,E39*(C39/D40),0))</f>
        <v/>
      </c>
      <c r="F40" s="6">
        <f>IF(A40&gt;$B$6,0,E40/$D$9)</f>
        <v/>
      </c>
      <c r="G40" s="6">
        <f>C40*F40</f>
        <v/>
      </c>
      <c r="H40" s="6">
        <f>B40*F40</f>
        <v/>
      </c>
    </row>
    <row r="41">
      <c r="A41" t="n">
        <v>30</v>
      </c>
      <c r="B41" s="6">
        <f>IF(A41&lt;$B$4,0,A41-$B$4)</f>
        <v/>
      </c>
      <c r="C41" s="6">
        <f>IF(A41&gt;$B$6,0,IF($B$7=0,$B$8,IF(A41&lt;=$B$7,$B$8*($B$7-A41),0)))</f>
        <v/>
      </c>
      <c r="D41" s="6">
        <f>IF(A41&gt;$B$6,0,IF(A41&gt;$B$4,$B$4/$B$5,A41/$B$5))</f>
        <v/>
      </c>
      <c r="E41" s="6">
        <f>IF(A41&gt;$B$6,0,IF(D41&lt;&gt;0,E40*(C40/D41),0))</f>
        <v/>
      </c>
      <c r="F41" s="6">
        <f>IF(A41&gt;$B$6,0,E41/$D$9)</f>
        <v/>
      </c>
      <c r="G41" s="6">
        <f>C41*F41</f>
        <v/>
      </c>
      <c r="H41" s="6">
        <f>B41*F41</f>
        <v/>
      </c>
    </row>
    <row r="42">
      <c r="A42" t="n">
        <v>31</v>
      </c>
      <c r="B42" s="6">
        <f>IF(A42&lt;$B$4,0,A42-$B$4)</f>
        <v/>
      </c>
      <c r="C42" s="6">
        <f>IF(A42&gt;$B$6,0,IF($B$7=0,$B$8,IF(A42&lt;=$B$7,$B$8*($B$7-A42),0)))</f>
        <v/>
      </c>
      <c r="D42" s="6">
        <f>IF(A42&gt;$B$6,0,IF(A42&gt;$B$4,$B$4/$B$5,A42/$B$5))</f>
        <v/>
      </c>
      <c r="E42" s="6">
        <f>IF(A42&gt;$B$6,0,IF(D42&lt;&gt;0,E41*(C41/D42),0))</f>
        <v/>
      </c>
      <c r="F42" s="6">
        <f>IF(A42&gt;$B$6,0,E42/$D$9)</f>
        <v/>
      </c>
      <c r="G42" s="6">
        <f>C42*F42</f>
        <v/>
      </c>
      <c r="H42" s="6">
        <f>B42*F42</f>
        <v/>
      </c>
    </row>
    <row r="43">
      <c r="A43" t="n">
        <v>32</v>
      </c>
      <c r="B43" s="6">
        <f>IF(A43&lt;$B$4,0,A43-$B$4)</f>
        <v/>
      </c>
      <c r="C43" s="6">
        <f>IF(A43&gt;$B$6,0,IF($B$7=0,$B$8,IF(A43&lt;=$B$7,$B$8*($B$7-A43),0)))</f>
        <v/>
      </c>
      <c r="D43" s="6">
        <f>IF(A43&gt;$B$6,0,IF(A43&gt;$B$4,$B$4/$B$5,A43/$B$5))</f>
        <v/>
      </c>
      <c r="E43" s="6">
        <f>IF(A43&gt;$B$6,0,IF(D43&lt;&gt;0,E42*(C42/D43),0))</f>
        <v/>
      </c>
      <c r="F43" s="6">
        <f>IF(A43&gt;$B$6,0,E43/$D$9)</f>
        <v/>
      </c>
      <c r="G43" s="6">
        <f>C43*F43</f>
        <v/>
      </c>
      <c r="H43" s="6">
        <f>B43*F43</f>
        <v/>
      </c>
    </row>
    <row r="44">
      <c r="A44" t="n">
        <v>33</v>
      </c>
      <c r="B44" s="6">
        <f>IF(A44&lt;$B$4,0,A44-$B$4)</f>
        <v/>
      </c>
      <c r="C44" s="6">
        <f>IF(A44&gt;$B$6,0,IF($B$7=0,$B$8,IF(A44&lt;=$B$7,$B$8*($B$7-A44),0)))</f>
        <v/>
      </c>
      <c r="D44" s="6">
        <f>IF(A44&gt;$B$6,0,IF(A44&gt;$B$4,$B$4/$B$5,A44/$B$5))</f>
        <v/>
      </c>
      <c r="E44" s="6">
        <f>IF(A44&gt;$B$6,0,IF(D44&lt;&gt;0,E43*(C43/D44),0))</f>
        <v/>
      </c>
      <c r="F44" s="6">
        <f>IF(A44&gt;$B$6,0,E44/$D$9)</f>
        <v/>
      </c>
      <c r="G44" s="6">
        <f>C44*F44</f>
        <v/>
      </c>
      <c r="H44" s="6">
        <f>B44*F44</f>
        <v/>
      </c>
    </row>
    <row r="45">
      <c r="A45" t="n">
        <v>34</v>
      </c>
      <c r="B45" s="6">
        <f>IF(A45&lt;$B$4,0,A45-$B$4)</f>
        <v/>
      </c>
      <c r="C45" s="6">
        <f>IF(A45&gt;$B$6,0,IF($B$7=0,$B$8,IF(A45&lt;=$B$7,$B$8*($B$7-A45),0)))</f>
        <v/>
      </c>
      <c r="D45" s="6">
        <f>IF(A45&gt;$B$6,0,IF(A45&gt;$B$4,$B$4/$B$5,A45/$B$5))</f>
        <v/>
      </c>
      <c r="E45" s="6">
        <f>IF(A45&gt;$B$6,0,IF(D45&lt;&gt;0,E44*(C44/D45),0))</f>
        <v/>
      </c>
      <c r="F45" s="6">
        <f>IF(A45&gt;$B$6,0,E45/$D$9)</f>
        <v/>
      </c>
      <c r="G45" s="6">
        <f>C45*F45</f>
        <v/>
      </c>
      <c r="H45" s="6">
        <f>B45*F45</f>
        <v/>
      </c>
    </row>
    <row r="46">
      <c r="A46" t="n">
        <v>35</v>
      </c>
      <c r="B46" s="6">
        <f>IF(A46&lt;$B$4,0,A46-$B$4)</f>
        <v/>
      </c>
      <c r="C46" s="6">
        <f>IF(A46&gt;$B$6,0,IF($B$7=0,$B$8,IF(A46&lt;=$B$7,$B$8*($B$7-A46),0)))</f>
        <v/>
      </c>
      <c r="D46" s="6">
        <f>IF(A46&gt;$B$6,0,IF(A46&gt;$B$4,$B$4/$B$5,A46/$B$5))</f>
        <v/>
      </c>
      <c r="E46" s="6">
        <f>IF(A46&gt;$B$6,0,IF(D46&lt;&gt;0,E45*(C45/D46),0))</f>
        <v/>
      </c>
      <c r="F46" s="6">
        <f>IF(A46&gt;$B$6,0,E46/$D$9)</f>
        <v/>
      </c>
      <c r="G46" s="6">
        <f>C46*F46</f>
        <v/>
      </c>
      <c r="H46" s="6">
        <f>B46*F46</f>
        <v/>
      </c>
    </row>
    <row r="47">
      <c r="A47" t="n">
        <v>36</v>
      </c>
      <c r="B47" s="6">
        <f>IF(A47&lt;$B$4,0,A47-$B$4)</f>
        <v/>
      </c>
      <c r="C47" s="6">
        <f>IF(A47&gt;$B$6,0,IF($B$7=0,$B$8,IF(A47&lt;=$B$7,$B$8*($B$7-A47),0)))</f>
        <v/>
      </c>
      <c r="D47" s="6">
        <f>IF(A47&gt;$B$6,0,IF(A47&gt;$B$4,$B$4/$B$5,A47/$B$5))</f>
        <v/>
      </c>
      <c r="E47" s="6">
        <f>IF(A47&gt;$B$6,0,IF(D47&lt;&gt;0,E46*(C46/D47),0))</f>
        <v/>
      </c>
      <c r="F47" s="6">
        <f>IF(A47&gt;$B$6,0,E47/$D$9)</f>
        <v/>
      </c>
      <c r="G47" s="6">
        <f>C47*F47</f>
        <v/>
      </c>
      <c r="H47" s="6">
        <f>B47*F47</f>
        <v/>
      </c>
    </row>
    <row r="48">
      <c r="A48" t="n">
        <v>37</v>
      </c>
      <c r="B48" s="6">
        <f>IF(A48&lt;$B$4,0,A48-$B$4)</f>
        <v/>
      </c>
      <c r="C48" s="6">
        <f>IF(A48&gt;$B$6,0,IF($B$7=0,$B$8,IF(A48&lt;=$B$7,$B$8*($B$7-A48),0)))</f>
        <v/>
      </c>
      <c r="D48" s="6">
        <f>IF(A48&gt;$B$6,0,IF(A48&gt;$B$4,$B$4/$B$5,A48/$B$5))</f>
        <v/>
      </c>
      <c r="E48" s="6">
        <f>IF(A48&gt;$B$6,0,IF(D48&lt;&gt;0,E47*(C47/D48),0))</f>
        <v/>
      </c>
      <c r="F48" s="6">
        <f>IF(A48&gt;$B$6,0,E48/$D$9)</f>
        <v/>
      </c>
      <c r="G48" s="6">
        <f>C48*F48</f>
        <v/>
      </c>
      <c r="H48" s="6">
        <f>B48*F48</f>
        <v/>
      </c>
    </row>
    <row r="49">
      <c r="A49" t="n">
        <v>38</v>
      </c>
      <c r="B49" s="6">
        <f>IF(A49&lt;$B$4,0,A49-$B$4)</f>
        <v/>
      </c>
      <c r="C49" s="6">
        <f>IF(A49&gt;$B$6,0,IF($B$7=0,$B$8,IF(A49&lt;=$B$7,$B$8*($B$7-A49),0)))</f>
        <v/>
      </c>
      <c r="D49" s="6">
        <f>IF(A49&gt;$B$6,0,IF(A49&gt;$B$4,$B$4/$B$5,A49/$B$5))</f>
        <v/>
      </c>
      <c r="E49" s="6">
        <f>IF(A49&gt;$B$6,0,IF(D49&lt;&gt;0,E48*(C48/D49),0))</f>
        <v/>
      </c>
      <c r="F49" s="6">
        <f>IF(A49&gt;$B$6,0,E49/$D$9)</f>
        <v/>
      </c>
      <c r="G49" s="6">
        <f>C49*F49</f>
        <v/>
      </c>
      <c r="H49" s="6">
        <f>B49*F49</f>
        <v/>
      </c>
    </row>
    <row r="50">
      <c r="A50" t="n">
        <v>39</v>
      </c>
      <c r="B50" s="6">
        <f>IF(A50&lt;$B$4,0,A50-$B$4)</f>
        <v/>
      </c>
      <c r="C50" s="6">
        <f>IF(A50&gt;$B$6,0,IF($B$7=0,$B$8,IF(A50&lt;=$B$7,$B$8*($B$7-A50),0)))</f>
        <v/>
      </c>
      <c r="D50" s="6">
        <f>IF(A50&gt;$B$6,0,IF(A50&gt;$B$4,$B$4/$B$5,A50/$B$5))</f>
        <v/>
      </c>
      <c r="E50" s="6">
        <f>IF(A50&gt;$B$6,0,IF(D50&lt;&gt;0,E49*(C49/D50),0))</f>
        <v/>
      </c>
      <c r="F50" s="6">
        <f>IF(A50&gt;$B$6,0,E50/$D$9)</f>
        <v/>
      </c>
      <c r="G50" s="6">
        <f>C50*F50</f>
        <v/>
      </c>
      <c r="H50" s="6">
        <f>B50*F50</f>
        <v/>
      </c>
    </row>
    <row r="51">
      <c r="A51" t="n">
        <v>40</v>
      </c>
      <c r="B51" s="6">
        <f>IF(A51&lt;$B$4,0,A51-$B$4)</f>
        <v/>
      </c>
      <c r="C51" s="6">
        <f>IF(A51&gt;$B$6,0,IF($B$7=0,$B$8,IF(A51&lt;=$B$7,$B$8*($B$7-A51),0)))</f>
        <v/>
      </c>
      <c r="D51" s="6">
        <f>IF(A51&gt;$B$6,0,IF(A51&gt;$B$4,$B$4/$B$5,A51/$B$5))</f>
        <v/>
      </c>
      <c r="E51" s="6">
        <f>IF(A51&gt;$B$6,0,IF(D51&lt;&gt;0,E50*(C50/D51),0))</f>
        <v/>
      </c>
      <c r="F51" s="6">
        <f>IF(A51&gt;$B$6,0,E51/$D$9)</f>
        <v/>
      </c>
      <c r="G51" s="6">
        <f>C51*F51</f>
        <v/>
      </c>
      <c r="H51" s="6">
        <f>B51*F51</f>
        <v/>
      </c>
    </row>
    <row r="52">
      <c r="A52" t="n">
        <v>41</v>
      </c>
      <c r="B52" s="6">
        <f>IF(A52&lt;$B$4,0,A52-$B$4)</f>
        <v/>
      </c>
      <c r="C52" s="6">
        <f>IF(A52&gt;$B$6,0,IF($B$7=0,$B$8,IF(A52&lt;=$B$7,$B$8*($B$7-A52),0)))</f>
        <v/>
      </c>
      <c r="D52" s="6">
        <f>IF(A52&gt;$B$6,0,IF(A52&gt;$B$4,$B$4/$B$5,A52/$B$5))</f>
        <v/>
      </c>
      <c r="E52" s="6">
        <f>IF(A52&gt;$B$6,0,IF(D52&lt;&gt;0,E51*(C51/D52),0))</f>
        <v/>
      </c>
      <c r="F52" s="6">
        <f>IF(A52&gt;$B$6,0,E52/$D$9)</f>
        <v/>
      </c>
      <c r="G52" s="6">
        <f>C52*F52</f>
        <v/>
      </c>
      <c r="H52" s="6">
        <f>B52*F52</f>
        <v/>
      </c>
    </row>
    <row r="53">
      <c r="A53" t="n">
        <v>42</v>
      </c>
      <c r="B53" s="6">
        <f>IF(A53&lt;$B$4,0,A53-$B$4)</f>
        <v/>
      </c>
      <c r="C53" s="6">
        <f>IF(A53&gt;$B$6,0,IF($B$7=0,$B$8,IF(A53&lt;=$B$7,$B$8*($B$7-A53),0)))</f>
        <v/>
      </c>
      <c r="D53" s="6">
        <f>IF(A53&gt;$B$6,0,IF(A53&gt;$B$4,$B$4/$B$5,A53/$B$5))</f>
        <v/>
      </c>
      <c r="E53" s="6">
        <f>IF(A53&gt;$B$6,0,IF(D53&lt;&gt;0,E52*(C52/D53),0))</f>
        <v/>
      </c>
      <c r="F53" s="6">
        <f>IF(A53&gt;$B$6,0,E53/$D$9)</f>
        <v/>
      </c>
      <c r="G53" s="6">
        <f>C53*F53</f>
        <v/>
      </c>
      <c r="H53" s="6">
        <f>B53*F53</f>
        <v/>
      </c>
    </row>
    <row r="54">
      <c r="A54" t="n">
        <v>43</v>
      </c>
      <c r="B54" s="6">
        <f>IF(A54&lt;$B$4,0,A54-$B$4)</f>
        <v/>
      </c>
      <c r="C54" s="6">
        <f>IF(A54&gt;$B$6,0,IF($B$7=0,$B$8,IF(A54&lt;=$B$7,$B$8*($B$7-A54),0)))</f>
        <v/>
      </c>
      <c r="D54" s="6">
        <f>IF(A54&gt;$B$6,0,IF(A54&gt;$B$4,$B$4/$B$5,A54/$B$5))</f>
        <v/>
      </c>
      <c r="E54" s="6">
        <f>IF(A54&gt;$B$6,0,IF(D54&lt;&gt;0,E53*(C53/D54),0))</f>
        <v/>
      </c>
      <c r="F54" s="6">
        <f>IF(A54&gt;$B$6,0,E54/$D$9)</f>
        <v/>
      </c>
      <c r="G54" s="6">
        <f>C54*F54</f>
        <v/>
      </c>
      <c r="H54" s="6">
        <f>B54*F54</f>
        <v/>
      </c>
    </row>
    <row r="55">
      <c r="A55" t="n">
        <v>44</v>
      </c>
      <c r="B55" s="6">
        <f>IF(A55&lt;$B$4,0,A55-$B$4)</f>
        <v/>
      </c>
      <c r="C55" s="6">
        <f>IF(A55&gt;$B$6,0,IF($B$7=0,$B$8,IF(A55&lt;=$B$7,$B$8*($B$7-A55),0)))</f>
        <v/>
      </c>
      <c r="D55" s="6">
        <f>IF(A55&gt;$B$6,0,IF(A55&gt;$B$4,$B$4/$B$5,A55/$B$5))</f>
        <v/>
      </c>
      <c r="E55" s="6">
        <f>IF(A55&gt;$B$6,0,IF(D55&lt;&gt;0,E54*(C54/D55),0))</f>
        <v/>
      </c>
      <c r="F55" s="6">
        <f>IF(A55&gt;$B$6,0,E55/$D$9)</f>
        <v/>
      </c>
      <c r="G55" s="6">
        <f>C55*F55</f>
        <v/>
      </c>
      <c r="H55" s="6">
        <f>B55*F55</f>
        <v/>
      </c>
    </row>
    <row r="56">
      <c r="A56" t="n">
        <v>45</v>
      </c>
      <c r="B56" s="6">
        <f>IF(A56&lt;$B$4,0,A56-$B$4)</f>
        <v/>
      </c>
      <c r="C56" s="6">
        <f>IF(A56&gt;$B$6,0,IF($B$7=0,$B$8,IF(A56&lt;=$B$7,$B$8*($B$7-A56),0)))</f>
        <v/>
      </c>
      <c r="D56" s="6">
        <f>IF(A56&gt;$B$6,0,IF(A56&gt;$B$4,$B$4/$B$5,A56/$B$5))</f>
        <v/>
      </c>
      <c r="E56" s="6">
        <f>IF(A56&gt;$B$6,0,IF(D56&lt;&gt;0,E55*(C55/D56),0))</f>
        <v/>
      </c>
      <c r="F56" s="6">
        <f>IF(A56&gt;$B$6,0,E56/$D$9)</f>
        <v/>
      </c>
      <c r="G56" s="6">
        <f>C56*F56</f>
        <v/>
      </c>
      <c r="H56" s="6">
        <f>B56*F56</f>
        <v/>
      </c>
    </row>
    <row r="57">
      <c r="A57" t="n">
        <v>46</v>
      </c>
      <c r="B57" s="6">
        <f>IF(A57&lt;$B$4,0,A57-$B$4)</f>
        <v/>
      </c>
      <c r="C57" s="6">
        <f>IF(A57&gt;$B$6,0,IF($B$7=0,$B$8,IF(A57&lt;=$B$7,$B$8*($B$7-A57),0)))</f>
        <v/>
      </c>
      <c r="D57" s="6">
        <f>IF(A57&gt;$B$6,0,IF(A57&gt;$B$4,$B$4/$B$5,A57/$B$5))</f>
        <v/>
      </c>
      <c r="E57" s="6">
        <f>IF(A57&gt;$B$6,0,IF(D57&lt;&gt;0,E56*(C56/D57),0))</f>
        <v/>
      </c>
      <c r="F57" s="6">
        <f>IF(A57&gt;$B$6,0,E57/$D$9)</f>
        <v/>
      </c>
      <c r="G57" s="6">
        <f>C57*F57</f>
        <v/>
      </c>
      <c r="H57" s="6">
        <f>B57*F57</f>
        <v/>
      </c>
    </row>
    <row r="58">
      <c r="A58" t="n">
        <v>47</v>
      </c>
      <c r="B58" s="6">
        <f>IF(A58&lt;$B$4,0,A58-$B$4)</f>
        <v/>
      </c>
      <c r="C58" s="6">
        <f>IF(A58&gt;$B$6,0,IF($B$7=0,$B$8,IF(A58&lt;=$B$7,$B$8*($B$7-A58),0)))</f>
        <v/>
      </c>
      <c r="D58" s="6">
        <f>IF(A58&gt;$B$6,0,IF(A58&gt;$B$4,$B$4/$B$5,A58/$B$5))</f>
        <v/>
      </c>
      <c r="E58" s="6">
        <f>IF(A58&gt;$B$6,0,IF(D58&lt;&gt;0,E57*(C57/D58),0))</f>
        <v/>
      </c>
      <c r="F58" s="6">
        <f>IF(A58&gt;$B$6,0,E58/$D$9)</f>
        <v/>
      </c>
      <c r="G58" s="6">
        <f>C58*F58</f>
        <v/>
      </c>
      <c r="H58" s="6">
        <f>B58*F58</f>
        <v/>
      </c>
    </row>
    <row r="59">
      <c r="A59" t="n">
        <v>48</v>
      </c>
      <c r="B59" s="6">
        <f>IF(A59&lt;$B$4,0,A59-$B$4)</f>
        <v/>
      </c>
      <c r="C59" s="6">
        <f>IF(A59&gt;$B$6,0,IF($B$7=0,$B$8,IF(A59&lt;=$B$7,$B$8*($B$7-A59),0)))</f>
        <v/>
      </c>
      <c r="D59" s="6">
        <f>IF(A59&gt;$B$6,0,IF(A59&gt;$B$4,$B$4/$B$5,A59/$B$5))</f>
        <v/>
      </c>
      <c r="E59" s="6">
        <f>IF(A59&gt;$B$6,0,IF(D59&lt;&gt;0,E58*(C58/D59),0))</f>
        <v/>
      </c>
      <c r="F59" s="6">
        <f>IF(A59&gt;$B$6,0,E59/$D$9)</f>
        <v/>
      </c>
      <c r="G59" s="6">
        <f>C59*F59</f>
        <v/>
      </c>
      <c r="H59" s="6">
        <f>B59*F59</f>
        <v/>
      </c>
    </row>
    <row r="60">
      <c r="A60" t="n">
        <v>49</v>
      </c>
      <c r="B60" s="6">
        <f>IF(A60&lt;$B$4,0,A60-$B$4)</f>
        <v/>
      </c>
      <c r="C60" s="6">
        <f>IF(A60&gt;$B$6,0,IF($B$7=0,$B$8,IF(A60&lt;=$B$7,$B$8*($B$7-A60),0)))</f>
        <v/>
      </c>
      <c r="D60" s="6">
        <f>IF(A60&gt;$B$6,0,IF(A60&gt;$B$4,$B$4/$B$5,A60/$B$5))</f>
        <v/>
      </c>
      <c r="E60" s="6">
        <f>IF(A60&gt;$B$6,0,IF(D60&lt;&gt;0,E59*(C59/D60),0))</f>
        <v/>
      </c>
      <c r="F60" s="6">
        <f>IF(A60&gt;$B$6,0,E60/$D$9)</f>
        <v/>
      </c>
      <c r="G60" s="6">
        <f>C60*F60</f>
        <v/>
      </c>
      <c r="H60" s="6">
        <f>B60*F60</f>
        <v/>
      </c>
    </row>
    <row r="61">
      <c r="A61" t="n">
        <v>50</v>
      </c>
      <c r="B61" s="6">
        <f>IF(A61&lt;$B$4,0,A61-$B$4)</f>
        <v/>
      </c>
      <c r="C61" s="6">
        <f>IF(A61&gt;$B$6,0,IF($B$7=0,$B$8,IF(A61&lt;=$B$7,$B$8*($B$7-A61),0)))</f>
        <v/>
      </c>
      <c r="D61" s="6">
        <f>IF(A61&gt;$B$6,0,IF(A61&gt;$B$4,$B$4/$B$5,A61/$B$5))</f>
        <v/>
      </c>
      <c r="E61" s="6">
        <f>IF(A61&gt;$B$6,0,IF(D61&lt;&gt;0,E60*(C60/D61),0))</f>
        <v/>
      </c>
      <c r="F61" s="6">
        <f>IF(A61&gt;$B$6,0,E61/$D$9)</f>
        <v/>
      </c>
      <c r="G61" s="6">
        <f>C61*F61</f>
        <v/>
      </c>
      <c r="H61" s="6">
        <f>B61*F61</f>
        <v/>
      </c>
    </row>
    <row r="62">
      <c r="A62" t="n">
        <v>51</v>
      </c>
      <c r="B62" s="6">
        <f>IF(A62&lt;$B$4,0,A62-$B$4)</f>
        <v/>
      </c>
      <c r="C62" s="6">
        <f>IF(A62&gt;$B$6,0,IF($B$7=0,$B$8,IF(A62&lt;=$B$7,$B$8*($B$7-A62),0)))</f>
        <v/>
      </c>
      <c r="D62" s="6">
        <f>IF(A62&gt;$B$6,0,IF(A62&gt;$B$4,$B$4/$B$5,A62/$B$5))</f>
        <v/>
      </c>
      <c r="E62" s="6">
        <f>IF(A62&gt;$B$6,0,IF(D62&lt;&gt;0,E61*(C61/D62),0))</f>
        <v/>
      </c>
      <c r="F62" s="6">
        <f>IF(A62&gt;$B$6,0,E62/$D$9)</f>
        <v/>
      </c>
      <c r="G62" s="6">
        <f>C62*F62</f>
        <v/>
      </c>
      <c r="H62" s="6">
        <f>B62*F62</f>
        <v/>
      </c>
    </row>
    <row r="63">
      <c r="A63" t="n">
        <v>52</v>
      </c>
      <c r="B63" s="6">
        <f>IF(A63&lt;$B$4,0,A63-$B$4)</f>
        <v/>
      </c>
      <c r="C63" s="6">
        <f>IF(A63&gt;$B$6,0,IF($B$7=0,$B$8,IF(A63&lt;=$B$7,$B$8*($B$7-A63),0)))</f>
        <v/>
      </c>
      <c r="D63" s="6">
        <f>IF(A63&gt;$B$6,0,IF(A63&gt;$B$4,$B$4/$B$5,A63/$B$5))</f>
        <v/>
      </c>
      <c r="E63" s="6">
        <f>IF(A63&gt;$B$6,0,IF(D63&lt;&gt;0,E62*(C62/D63),0))</f>
        <v/>
      </c>
      <c r="F63" s="6">
        <f>IF(A63&gt;$B$6,0,E63/$D$9)</f>
        <v/>
      </c>
      <c r="G63" s="6">
        <f>C63*F63</f>
        <v/>
      </c>
      <c r="H63" s="6">
        <f>B63*F63</f>
        <v/>
      </c>
    </row>
    <row r="64">
      <c r="A64" t="n">
        <v>53</v>
      </c>
      <c r="B64" s="6">
        <f>IF(A64&lt;$B$4,0,A64-$B$4)</f>
        <v/>
      </c>
      <c r="C64" s="6">
        <f>IF(A64&gt;$B$6,0,IF($B$7=0,$B$8,IF(A64&lt;=$B$7,$B$8*($B$7-A64),0)))</f>
        <v/>
      </c>
      <c r="D64" s="6">
        <f>IF(A64&gt;$B$6,0,IF(A64&gt;$B$4,$B$4/$B$5,A64/$B$5))</f>
        <v/>
      </c>
      <c r="E64" s="6">
        <f>IF(A64&gt;$B$6,0,IF(D64&lt;&gt;0,E63*(C63/D64),0))</f>
        <v/>
      </c>
      <c r="F64" s="6">
        <f>IF(A64&gt;$B$6,0,E64/$D$9)</f>
        <v/>
      </c>
      <c r="G64" s="6">
        <f>C64*F64</f>
        <v/>
      </c>
      <c r="H64" s="6">
        <f>B64*F64</f>
        <v/>
      </c>
    </row>
    <row r="65">
      <c r="A65" t="n">
        <v>54</v>
      </c>
      <c r="B65" s="6">
        <f>IF(A65&lt;$B$4,0,A65-$B$4)</f>
        <v/>
      </c>
      <c r="C65" s="6">
        <f>IF(A65&gt;$B$6,0,IF($B$7=0,$B$8,IF(A65&lt;=$B$7,$B$8*($B$7-A65),0)))</f>
        <v/>
      </c>
      <c r="D65" s="6">
        <f>IF(A65&gt;$B$6,0,IF(A65&gt;$B$4,$B$4/$B$5,A65/$B$5))</f>
        <v/>
      </c>
      <c r="E65" s="6">
        <f>IF(A65&gt;$B$6,0,IF(D65&lt;&gt;0,E64*(C64/D65),0))</f>
        <v/>
      </c>
      <c r="F65" s="6">
        <f>IF(A65&gt;$B$6,0,E65/$D$9)</f>
        <v/>
      </c>
      <c r="G65" s="6">
        <f>C65*F65</f>
        <v/>
      </c>
      <c r="H65" s="6">
        <f>B65*F65</f>
        <v/>
      </c>
    </row>
    <row r="66">
      <c r="A66" t="n">
        <v>55</v>
      </c>
      <c r="B66" s="6">
        <f>IF(A66&lt;$B$4,0,A66-$B$4)</f>
        <v/>
      </c>
      <c r="C66" s="6">
        <f>IF(A66&gt;$B$6,0,IF($B$7=0,$B$8,IF(A66&lt;=$B$7,$B$8*($B$7-A66),0)))</f>
        <v/>
      </c>
      <c r="D66" s="6">
        <f>IF(A66&gt;$B$6,0,IF(A66&gt;$B$4,$B$4/$B$5,A66/$B$5))</f>
        <v/>
      </c>
      <c r="E66" s="6">
        <f>IF(A66&gt;$B$6,0,IF(D66&lt;&gt;0,E65*(C65/D66),0))</f>
        <v/>
      </c>
      <c r="F66" s="6">
        <f>IF(A66&gt;$B$6,0,E66/$D$9)</f>
        <v/>
      </c>
      <c r="G66" s="6">
        <f>C66*F66</f>
        <v/>
      </c>
      <c r="H66" s="6">
        <f>B66*F66</f>
        <v/>
      </c>
    </row>
    <row r="67">
      <c r="A67" t="n">
        <v>56</v>
      </c>
      <c r="B67" s="6">
        <f>IF(A67&lt;$B$4,0,A67-$B$4)</f>
        <v/>
      </c>
      <c r="C67" s="6">
        <f>IF(A67&gt;$B$6,0,IF($B$7=0,$B$8,IF(A67&lt;=$B$7,$B$8*($B$7-A67),0)))</f>
        <v/>
      </c>
      <c r="D67" s="6">
        <f>IF(A67&gt;$B$6,0,IF(A67&gt;$B$4,$B$4/$B$5,A67/$B$5))</f>
        <v/>
      </c>
      <c r="E67" s="6">
        <f>IF(A67&gt;$B$6,0,IF(D67&lt;&gt;0,E66*(C66/D67),0))</f>
        <v/>
      </c>
      <c r="F67" s="6">
        <f>IF(A67&gt;$B$6,0,E67/$D$9)</f>
        <v/>
      </c>
      <c r="G67" s="6">
        <f>C67*F67</f>
        <v/>
      </c>
      <c r="H67" s="6">
        <f>B67*F67</f>
        <v/>
      </c>
    </row>
    <row r="68">
      <c r="A68" t="n">
        <v>57</v>
      </c>
      <c r="B68" s="6">
        <f>IF(A68&lt;$B$4,0,A68-$B$4)</f>
        <v/>
      </c>
      <c r="C68" s="6">
        <f>IF(A68&gt;$B$6,0,IF($B$7=0,$B$8,IF(A68&lt;=$B$7,$B$8*($B$7-A68),0)))</f>
        <v/>
      </c>
      <c r="D68" s="6">
        <f>IF(A68&gt;$B$6,0,IF(A68&gt;$B$4,$B$4/$B$5,A68/$B$5))</f>
        <v/>
      </c>
      <c r="E68" s="6">
        <f>IF(A68&gt;$B$6,0,IF(D68&lt;&gt;0,E67*(C67/D68),0))</f>
        <v/>
      </c>
      <c r="F68" s="6">
        <f>IF(A68&gt;$B$6,0,E68/$D$9)</f>
        <v/>
      </c>
      <c r="G68" s="6">
        <f>C68*F68</f>
        <v/>
      </c>
      <c r="H68" s="6">
        <f>B68*F68</f>
        <v/>
      </c>
    </row>
    <row r="69">
      <c r="A69" t="n">
        <v>58</v>
      </c>
      <c r="B69" s="6">
        <f>IF(A69&lt;$B$4,0,A69-$B$4)</f>
        <v/>
      </c>
      <c r="C69" s="6">
        <f>IF(A69&gt;$B$6,0,IF($B$7=0,$B$8,IF(A69&lt;=$B$7,$B$8*($B$7-A69),0)))</f>
        <v/>
      </c>
      <c r="D69" s="6">
        <f>IF(A69&gt;$B$6,0,IF(A69&gt;$B$4,$B$4/$B$5,A69/$B$5))</f>
        <v/>
      </c>
      <c r="E69" s="6">
        <f>IF(A69&gt;$B$6,0,IF(D69&lt;&gt;0,E68*(C68/D69),0))</f>
        <v/>
      </c>
      <c r="F69" s="6">
        <f>IF(A69&gt;$B$6,0,E69/$D$9)</f>
        <v/>
      </c>
      <c r="G69" s="6">
        <f>C69*F69</f>
        <v/>
      </c>
      <c r="H69" s="6">
        <f>B69*F69</f>
        <v/>
      </c>
    </row>
    <row r="70">
      <c r="A70" t="n">
        <v>59</v>
      </c>
      <c r="B70" s="6">
        <f>IF(A70&lt;$B$4,0,A70-$B$4)</f>
        <v/>
      </c>
      <c r="C70" s="6">
        <f>IF(A70&gt;$B$6,0,IF($B$7=0,$B$8,IF(A70&lt;=$B$7,$B$8*($B$7-A70),0)))</f>
        <v/>
      </c>
      <c r="D70" s="6">
        <f>IF(A70&gt;$B$6,0,IF(A70&gt;$B$4,$B$4/$B$5,A70/$B$5))</f>
        <v/>
      </c>
      <c r="E70" s="6">
        <f>IF(A70&gt;$B$6,0,IF(D70&lt;&gt;0,E69*(C69/D70),0))</f>
        <v/>
      </c>
      <c r="F70" s="6">
        <f>IF(A70&gt;$B$6,0,E70/$D$9)</f>
        <v/>
      </c>
      <c r="G70" s="6">
        <f>C70*F70</f>
        <v/>
      </c>
      <c r="H70" s="6">
        <f>B70*F70</f>
        <v/>
      </c>
    </row>
    <row r="71">
      <c r="A71" t="n">
        <v>60</v>
      </c>
      <c r="B71" s="6">
        <f>IF(A71&lt;$B$4,0,A71-$B$4)</f>
        <v/>
      </c>
      <c r="C71" s="6">
        <f>IF(A71&gt;$B$6,0,IF($B$7=0,$B$8,IF(A71&lt;=$B$7,$B$8*($B$7-A71),0)))</f>
        <v/>
      </c>
      <c r="D71" s="6">
        <f>IF(A71&gt;$B$6,0,IF(A71&gt;$B$4,$B$4/$B$5,A71/$B$5))</f>
        <v/>
      </c>
      <c r="E71" s="6">
        <f>IF(A71&gt;$B$6,0,IF(D71&lt;&gt;0,E70*(C70/D71),0))</f>
        <v/>
      </c>
      <c r="F71" s="6">
        <f>IF(A71&gt;$B$6,0,E71/$D$9)</f>
        <v/>
      </c>
      <c r="G71" s="6">
        <f>C71*F71</f>
        <v/>
      </c>
      <c r="H71" s="6">
        <f>B71*F71</f>
        <v/>
      </c>
    </row>
    <row r="72">
      <c r="A72" t="n">
        <v>61</v>
      </c>
      <c r="B72" s="6">
        <f>IF(A72&lt;$B$4,0,A72-$B$4)</f>
        <v/>
      </c>
      <c r="C72" s="6">
        <f>IF(A72&gt;$B$6,0,IF($B$7=0,$B$8,IF(A72&lt;=$B$7,$B$8*($B$7-A72),0)))</f>
        <v/>
      </c>
      <c r="D72" s="6">
        <f>IF(A72&gt;$B$6,0,IF(A72&gt;$B$4,$B$4/$B$5,A72/$B$5))</f>
        <v/>
      </c>
      <c r="E72" s="6">
        <f>IF(A72&gt;$B$6,0,IF(D72&lt;&gt;0,E71*(C71/D72),0))</f>
        <v/>
      </c>
      <c r="F72" s="6">
        <f>IF(A72&gt;$B$6,0,E72/$D$9)</f>
        <v/>
      </c>
      <c r="G72" s="6">
        <f>C72*F72</f>
        <v/>
      </c>
      <c r="H72" s="6">
        <f>B72*F72</f>
        <v/>
      </c>
    </row>
    <row r="73">
      <c r="A73" t="n">
        <v>62</v>
      </c>
      <c r="B73" s="6">
        <f>IF(A73&lt;$B$4,0,A73-$B$4)</f>
        <v/>
      </c>
      <c r="C73" s="6">
        <f>IF(A73&gt;$B$6,0,IF($B$7=0,$B$8,IF(A73&lt;=$B$7,$B$8*($B$7-A73),0)))</f>
        <v/>
      </c>
      <c r="D73" s="6">
        <f>IF(A73&gt;$B$6,0,IF(A73&gt;$B$4,$B$4/$B$5,A73/$B$5))</f>
        <v/>
      </c>
      <c r="E73" s="6">
        <f>IF(A73&gt;$B$6,0,IF(D73&lt;&gt;0,E72*(C72/D73),0))</f>
        <v/>
      </c>
      <c r="F73" s="6">
        <f>IF(A73&gt;$B$6,0,E73/$D$9)</f>
        <v/>
      </c>
      <c r="G73" s="6">
        <f>C73*F73</f>
        <v/>
      </c>
      <c r="H73" s="6">
        <f>B73*F73</f>
        <v/>
      </c>
    </row>
    <row r="74">
      <c r="A74" t="n">
        <v>63</v>
      </c>
      <c r="B74" s="6">
        <f>IF(A74&lt;$B$4,0,A74-$B$4)</f>
        <v/>
      </c>
      <c r="C74" s="6">
        <f>IF(A74&gt;$B$6,0,IF($B$7=0,$B$8,IF(A74&lt;=$B$7,$B$8*($B$7-A74),0)))</f>
        <v/>
      </c>
      <c r="D74" s="6">
        <f>IF(A74&gt;$B$6,0,IF(A74&gt;$B$4,$B$4/$B$5,A74/$B$5))</f>
        <v/>
      </c>
      <c r="E74" s="6">
        <f>IF(A74&gt;$B$6,0,IF(D74&lt;&gt;0,E73*(C73/D74),0))</f>
        <v/>
      </c>
      <c r="F74" s="6">
        <f>IF(A74&gt;$B$6,0,E74/$D$9)</f>
        <v/>
      </c>
      <c r="G74" s="6">
        <f>C74*F74</f>
        <v/>
      </c>
      <c r="H74" s="6">
        <f>B74*F74</f>
        <v/>
      </c>
    </row>
    <row r="75">
      <c r="A75" t="n">
        <v>64</v>
      </c>
      <c r="B75" s="6">
        <f>IF(A75&lt;$B$4,0,A75-$B$4)</f>
        <v/>
      </c>
      <c r="C75" s="6">
        <f>IF(A75&gt;$B$6,0,IF($B$7=0,$B$8,IF(A75&lt;=$B$7,$B$8*($B$7-A75),0)))</f>
        <v/>
      </c>
      <c r="D75" s="6">
        <f>IF(A75&gt;$B$6,0,IF(A75&gt;$B$4,$B$4/$B$5,A75/$B$5))</f>
        <v/>
      </c>
      <c r="E75" s="6">
        <f>IF(A75&gt;$B$6,0,IF(D75&lt;&gt;0,E74*(C74/D75),0))</f>
        <v/>
      </c>
      <c r="F75" s="6">
        <f>IF(A75&gt;$B$6,0,E75/$D$9)</f>
        <v/>
      </c>
      <c r="G75" s="6">
        <f>C75*F75</f>
        <v/>
      </c>
      <c r="H75" s="6">
        <f>B75*F75</f>
        <v/>
      </c>
    </row>
    <row r="76">
      <c r="A76" t="n">
        <v>65</v>
      </c>
      <c r="B76" s="6">
        <f>IF(A76&lt;$B$4,0,A76-$B$4)</f>
        <v/>
      </c>
      <c r="C76" s="6">
        <f>IF(A76&gt;$B$6,0,IF($B$7=0,$B$8,IF(A76&lt;=$B$7,$B$8*($B$7-A76),0)))</f>
        <v/>
      </c>
      <c r="D76" s="6">
        <f>IF(A76&gt;$B$6,0,IF(A76&gt;$B$4,$B$4/$B$5,A76/$B$5))</f>
        <v/>
      </c>
      <c r="E76" s="6">
        <f>IF(A76&gt;$B$6,0,IF(D76&lt;&gt;0,E75*(C75/D76),0))</f>
        <v/>
      </c>
      <c r="F76" s="6">
        <f>IF(A76&gt;$B$6,0,E76/$D$9)</f>
        <v/>
      </c>
      <c r="G76" s="6">
        <f>C76*F76</f>
        <v/>
      </c>
      <c r="H76" s="6">
        <f>B76*F76</f>
        <v/>
      </c>
    </row>
    <row r="77">
      <c r="A77" t="n">
        <v>66</v>
      </c>
      <c r="B77" s="6">
        <f>IF(A77&lt;$B$4,0,A77-$B$4)</f>
        <v/>
      </c>
      <c r="C77" s="6">
        <f>IF(A77&gt;$B$6,0,IF($B$7=0,$B$8,IF(A77&lt;=$B$7,$B$8*($B$7-A77),0)))</f>
        <v/>
      </c>
      <c r="D77" s="6">
        <f>IF(A77&gt;$B$6,0,IF(A77&gt;$B$4,$B$4/$B$5,A77/$B$5))</f>
        <v/>
      </c>
      <c r="E77" s="6">
        <f>IF(A77&gt;$B$6,0,IF(D77&lt;&gt;0,E76*(C76/D77),0))</f>
        <v/>
      </c>
      <c r="F77" s="6">
        <f>IF(A77&gt;$B$6,0,E77/$D$9)</f>
        <v/>
      </c>
      <c r="G77" s="6">
        <f>C77*F77</f>
        <v/>
      </c>
      <c r="H77" s="6">
        <f>B77*F77</f>
        <v/>
      </c>
    </row>
    <row r="78">
      <c r="A78" t="n">
        <v>67</v>
      </c>
      <c r="B78" s="6">
        <f>IF(A78&lt;$B$4,0,A78-$B$4)</f>
        <v/>
      </c>
      <c r="C78" s="6">
        <f>IF(A78&gt;$B$6,0,IF($B$7=0,$B$8,IF(A78&lt;=$B$7,$B$8*($B$7-A78),0)))</f>
        <v/>
      </c>
      <c r="D78" s="6">
        <f>IF(A78&gt;$B$6,0,IF(A78&gt;$B$4,$B$4/$B$5,A78/$B$5))</f>
        <v/>
      </c>
      <c r="E78" s="6">
        <f>IF(A78&gt;$B$6,0,IF(D78&lt;&gt;0,E77*(C77/D78),0))</f>
        <v/>
      </c>
      <c r="F78" s="6">
        <f>IF(A78&gt;$B$6,0,E78/$D$9)</f>
        <v/>
      </c>
      <c r="G78" s="6">
        <f>C78*F78</f>
        <v/>
      </c>
      <c r="H78" s="6">
        <f>B78*F78</f>
        <v/>
      </c>
    </row>
    <row r="79">
      <c r="A79" t="n">
        <v>68</v>
      </c>
      <c r="B79" s="6">
        <f>IF(A79&lt;$B$4,0,A79-$B$4)</f>
        <v/>
      </c>
      <c r="C79" s="6">
        <f>IF(A79&gt;$B$6,0,IF($B$7=0,$B$8,IF(A79&lt;=$B$7,$B$8*($B$7-A79),0)))</f>
        <v/>
      </c>
      <c r="D79" s="6">
        <f>IF(A79&gt;$B$6,0,IF(A79&gt;$B$4,$B$4/$B$5,A79/$B$5))</f>
        <v/>
      </c>
      <c r="E79" s="6">
        <f>IF(A79&gt;$B$6,0,IF(D79&lt;&gt;0,E78*(C78/D79),0))</f>
        <v/>
      </c>
      <c r="F79" s="6">
        <f>IF(A79&gt;$B$6,0,E79/$D$9)</f>
        <v/>
      </c>
      <c r="G79" s="6">
        <f>C79*F79</f>
        <v/>
      </c>
      <c r="H79" s="6">
        <f>B79*F79</f>
        <v/>
      </c>
    </row>
    <row r="80">
      <c r="A80" t="n">
        <v>69</v>
      </c>
      <c r="B80" s="6">
        <f>IF(A80&lt;$B$4,0,A80-$B$4)</f>
        <v/>
      </c>
      <c r="C80" s="6">
        <f>IF(A80&gt;$B$6,0,IF($B$7=0,$B$8,IF(A80&lt;=$B$7,$B$8*($B$7-A80),0)))</f>
        <v/>
      </c>
      <c r="D80" s="6">
        <f>IF(A80&gt;$B$6,0,IF(A80&gt;$B$4,$B$4/$B$5,A80/$B$5))</f>
        <v/>
      </c>
      <c r="E80" s="6">
        <f>IF(A80&gt;$B$6,0,IF(D80&lt;&gt;0,E79*(C79/D80),0))</f>
        <v/>
      </c>
      <c r="F80" s="6">
        <f>IF(A80&gt;$B$6,0,E80/$D$9)</f>
        <v/>
      </c>
      <c r="G80" s="6">
        <f>C80*F80</f>
        <v/>
      </c>
      <c r="H80" s="6">
        <f>B80*F80</f>
        <v/>
      </c>
    </row>
    <row r="81">
      <c r="A81" t="n">
        <v>70</v>
      </c>
      <c r="B81" s="6">
        <f>IF(A81&lt;$B$4,0,A81-$B$4)</f>
        <v/>
      </c>
      <c r="C81" s="6">
        <f>IF(A81&gt;$B$6,0,IF($B$7=0,$B$8,IF(A81&lt;=$B$7,$B$8*($B$7-A81),0)))</f>
        <v/>
      </c>
      <c r="D81" s="6">
        <f>IF(A81&gt;$B$6,0,IF(A81&gt;$B$4,$B$4/$B$5,A81/$B$5))</f>
        <v/>
      </c>
      <c r="E81" s="6">
        <f>IF(A81&gt;$B$6,0,IF(D81&lt;&gt;0,E80*(C80/D81),0))</f>
        <v/>
      </c>
      <c r="F81" s="6">
        <f>IF(A81&gt;$B$6,0,E81/$D$9)</f>
        <v/>
      </c>
      <c r="G81" s="6">
        <f>C81*F81</f>
        <v/>
      </c>
      <c r="H81" s="6">
        <f>B81*F81</f>
        <v/>
      </c>
    </row>
    <row r="82">
      <c r="A82" t="n">
        <v>71</v>
      </c>
      <c r="B82" s="6">
        <f>IF(A82&lt;$B$4,0,A82-$B$4)</f>
        <v/>
      </c>
      <c r="C82" s="6">
        <f>IF(A82&gt;$B$6,0,IF($B$7=0,$B$8,IF(A82&lt;=$B$7,$B$8*($B$7-A82),0)))</f>
        <v/>
      </c>
      <c r="D82" s="6">
        <f>IF(A82&gt;$B$6,0,IF(A82&gt;$B$4,$B$4/$B$5,A82/$B$5))</f>
        <v/>
      </c>
      <c r="E82" s="6">
        <f>IF(A82&gt;$B$6,0,IF(D82&lt;&gt;0,E81*(C81/D82),0))</f>
        <v/>
      </c>
      <c r="F82" s="6">
        <f>IF(A82&gt;$B$6,0,E82/$D$9)</f>
        <v/>
      </c>
      <c r="G82" s="6">
        <f>C82*F82</f>
        <v/>
      </c>
      <c r="H82" s="6">
        <f>B82*F82</f>
        <v/>
      </c>
    </row>
    <row r="83">
      <c r="A83" t="n">
        <v>72</v>
      </c>
      <c r="B83" s="6">
        <f>IF(A83&lt;$B$4,0,A83-$B$4)</f>
        <v/>
      </c>
      <c r="C83" s="6">
        <f>IF(A83&gt;$B$6,0,IF($B$7=0,$B$8,IF(A83&lt;=$B$7,$B$8*($B$7-A83),0)))</f>
        <v/>
      </c>
      <c r="D83" s="6">
        <f>IF(A83&gt;$B$6,0,IF(A83&gt;$B$4,$B$4/$B$5,A83/$B$5))</f>
        <v/>
      </c>
      <c r="E83" s="6">
        <f>IF(A83&gt;$B$6,0,IF(D83&lt;&gt;0,E82*(C82/D83),0))</f>
        <v/>
      </c>
      <c r="F83" s="6">
        <f>IF(A83&gt;$B$6,0,E83/$D$9)</f>
        <v/>
      </c>
      <c r="G83" s="6">
        <f>C83*F83</f>
        <v/>
      </c>
      <c r="H83" s="6">
        <f>B83*F83</f>
        <v/>
      </c>
    </row>
    <row r="84">
      <c r="A84" t="n">
        <v>73</v>
      </c>
      <c r="B84" s="6">
        <f>IF(A84&lt;$B$4,0,A84-$B$4)</f>
        <v/>
      </c>
      <c r="C84" s="6">
        <f>IF(A84&gt;$B$6,0,IF($B$7=0,$B$8,IF(A84&lt;=$B$7,$B$8*($B$7-A84),0)))</f>
        <v/>
      </c>
      <c r="D84" s="6">
        <f>IF(A84&gt;$B$6,0,IF(A84&gt;$B$4,$B$4/$B$5,A84/$B$5))</f>
        <v/>
      </c>
      <c r="E84" s="6">
        <f>IF(A84&gt;$B$6,0,IF(D84&lt;&gt;0,E83*(C83/D84),0))</f>
        <v/>
      </c>
      <c r="F84" s="6">
        <f>IF(A84&gt;$B$6,0,E84/$D$9)</f>
        <v/>
      </c>
      <c r="G84" s="6">
        <f>C84*F84</f>
        <v/>
      </c>
      <c r="H84" s="6">
        <f>B84*F84</f>
        <v/>
      </c>
    </row>
    <row r="85">
      <c r="A85" t="n">
        <v>74</v>
      </c>
      <c r="B85" s="6">
        <f>IF(A85&lt;$B$4,0,A85-$B$4)</f>
        <v/>
      </c>
      <c r="C85" s="6">
        <f>IF(A85&gt;$B$6,0,IF($B$7=0,$B$8,IF(A85&lt;=$B$7,$B$8*($B$7-A85),0)))</f>
        <v/>
      </c>
      <c r="D85" s="6">
        <f>IF(A85&gt;$B$6,0,IF(A85&gt;$B$4,$B$4/$B$5,A85/$B$5))</f>
        <v/>
      </c>
      <c r="E85" s="6">
        <f>IF(A85&gt;$B$6,0,IF(D85&lt;&gt;0,E84*(C84/D85),0))</f>
        <v/>
      </c>
      <c r="F85" s="6">
        <f>IF(A85&gt;$B$6,0,E85/$D$9)</f>
        <v/>
      </c>
      <c r="G85" s="6">
        <f>C85*F85</f>
        <v/>
      </c>
      <c r="H85" s="6">
        <f>B85*F85</f>
        <v/>
      </c>
    </row>
    <row r="86">
      <c r="A86" t="n">
        <v>75</v>
      </c>
      <c r="B86" s="6">
        <f>IF(A86&lt;$B$4,0,A86-$B$4)</f>
        <v/>
      </c>
      <c r="C86" s="6">
        <f>IF(A86&gt;$B$6,0,IF($B$7=0,$B$8,IF(A86&lt;=$B$7,$B$8*($B$7-A86),0)))</f>
        <v/>
      </c>
      <c r="D86" s="6">
        <f>IF(A86&gt;$B$6,0,IF(A86&gt;$B$4,$B$4/$B$5,A86/$B$5))</f>
        <v/>
      </c>
      <c r="E86" s="6">
        <f>IF(A86&gt;$B$6,0,IF(D86&lt;&gt;0,E85*(C85/D86),0))</f>
        <v/>
      </c>
      <c r="F86" s="6">
        <f>IF(A86&gt;$B$6,0,E86/$D$9)</f>
        <v/>
      </c>
      <c r="G86" s="6">
        <f>C86*F86</f>
        <v/>
      </c>
      <c r="H86" s="6">
        <f>B86*F86</f>
        <v/>
      </c>
    </row>
    <row r="87">
      <c r="A87" t="n">
        <v>76</v>
      </c>
      <c r="B87" s="6">
        <f>IF(A87&lt;$B$4,0,A87-$B$4)</f>
        <v/>
      </c>
      <c r="C87" s="6">
        <f>IF(A87&gt;$B$6,0,IF($B$7=0,$B$8,IF(A87&lt;=$B$7,$B$8*($B$7-A87),0)))</f>
        <v/>
      </c>
      <c r="D87" s="6">
        <f>IF(A87&gt;$B$6,0,IF(A87&gt;$B$4,$B$4/$B$5,A87/$B$5))</f>
        <v/>
      </c>
      <c r="E87" s="6">
        <f>IF(A87&gt;$B$6,0,IF(D87&lt;&gt;0,E86*(C86/D87),0))</f>
        <v/>
      </c>
      <c r="F87" s="6">
        <f>IF(A87&gt;$B$6,0,E87/$D$9)</f>
        <v/>
      </c>
      <c r="G87" s="6">
        <f>C87*F87</f>
        <v/>
      </c>
      <c r="H87" s="6">
        <f>B87*F87</f>
        <v/>
      </c>
    </row>
    <row r="88">
      <c r="A88" t="n">
        <v>77</v>
      </c>
      <c r="B88" s="6">
        <f>IF(A88&lt;$B$4,0,A88-$B$4)</f>
        <v/>
      </c>
      <c r="C88" s="6">
        <f>IF(A88&gt;$B$6,0,IF($B$7=0,$B$8,IF(A88&lt;=$B$7,$B$8*($B$7-A88),0)))</f>
        <v/>
      </c>
      <c r="D88" s="6">
        <f>IF(A88&gt;$B$6,0,IF(A88&gt;$B$4,$B$4/$B$5,A88/$B$5))</f>
        <v/>
      </c>
      <c r="E88" s="6">
        <f>IF(A88&gt;$B$6,0,IF(D88&lt;&gt;0,E87*(C87/D88),0))</f>
        <v/>
      </c>
      <c r="F88" s="6">
        <f>IF(A88&gt;$B$6,0,E88/$D$9)</f>
        <v/>
      </c>
      <c r="G88" s="6">
        <f>C88*F88</f>
        <v/>
      </c>
      <c r="H88" s="6">
        <f>B88*F88</f>
        <v/>
      </c>
    </row>
    <row r="89">
      <c r="A89" t="n">
        <v>78</v>
      </c>
      <c r="B89" s="6">
        <f>IF(A89&lt;$B$4,0,A89-$B$4)</f>
        <v/>
      </c>
      <c r="C89" s="6">
        <f>IF(A89&gt;$B$6,0,IF($B$7=0,$B$8,IF(A89&lt;=$B$7,$B$8*($B$7-A89),0)))</f>
        <v/>
      </c>
      <c r="D89" s="6">
        <f>IF(A89&gt;$B$6,0,IF(A89&gt;$B$4,$B$4/$B$5,A89/$B$5))</f>
        <v/>
      </c>
      <c r="E89" s="6">
        <f>IF(A89&gt;$B$6,0,IF(D89&lt;&gt;0,E88*(C88/D89),0))</f>
        <v/>
      </c>
      <c r="F89" s="6">
        <f>IF(A89&gt;$B$6,0,E89/$D$9)</f>
        <v/>
      </c>
      <c r="G89" s="6">
        <f>C89*F89</f>
        <v/>
      </c>
      <c r="H89" s="6">
        <f>B89*F89</f>
        <v/>
      </c>
    </row>
    <row r="90">
      <c r="A90" t="n">
        <v>79</v>
      </c>
      <c r="B90" s="6">
        <f>IF(A90&lt;$B$4,0,A90-$B$4)</f>
        <v/>
      </c>
      <c r="C90" s="6">
        <f>IF(A90&gt;$B$6,0,IF($B$7=0,$B$8,IF(A90&lt;=$B$7,$B$8*($B$7-A90),0)))</f>
        <v/>
      </c>
      <c r="D90" s="6">
        <f>IF(A90&gt;$B$6,0,IF(A90&gt;$B$4,$B$4/$B$5,A90/$B$5))</f>
        <v/>
      </c>
      <c r="E90" s="6">
        <f>IF(A90&gt;$B$6,0,IF(D90&lt;&gt;0,E89*(C89/D90),0))</f>
        <v/>
      </c>
      <c r="F90" s="6">
        <f>IF(A90&gt;$B$6,0,E90/$D$9)</f>
        <v/>
      </c>
      <c r="G90" s="6">
        <f>C90*F90</f>
        <v/>
      </c>
      <c r="H90" s="6">
        <f>B90*F90</f>
        <v/>
      </c>
    </row>
    <row r="91">
      <c r="A91" t="n">
        <v>80</v>
      </c>
      <c r="B91" s="6">
        <f>IF(A91&lt;$B$4,0,A91-$B$4)</f>
        <v/>
      </c>
      <c r="C91" s="6">
        <f>IF(A91&gt;$B$6,0,IF($B$7=0,$B$8,IF(A91&lt;=$B$7,$B$8*($B$7-A91),0)))</f>
        <v/>
      </c>
      <c r="D91" s="6">
        <f>IF(A91&gt;$B$6,0,IF(A91&gt;$B$4,$B$4/$B$5,A91/$B$5))</f>
        <v/>
      </c>
      <c r="E91" s="6">
        <f>IF(A91&gt;$B$6,0,IF(D91&lt;&gt;0,E90*(C90/D91),0))</f>
        <v/>
      </c>
      <c r="F91" s="6">
        <f>IF(A91&gt;$B$6,0,E91/$D$9)</f>
        <v/>
      </c>
      <c r="G91" s="6">
        <f>C91*F91</f>
        <v/>
      </c>
      <c r="H91" s="6">
        <f>B91*F91</f>
        <v/>
      </c>
    </row>
    <row r="92">
      <c r="A92" t="n">
        <v>81</v>
      </c>
      <c r="B92" s="6">
        <f>IF(A92&lt;$B$4,0,A92-$B$4)</f>
        <v/>
      </c>
      <c r="C92" s="6">
        <f>IF(A92&gt;$B$6,0,IF($B$7=0,$B$8,IF(A92&lt;=$B$7,$B$8*($B$7-A92),0)))</f>
        <v/>
      </c>
      <c r="D92" s="6">
        <f>IF(A92&gt;$B$6,0,IF(A92&gt;$B$4,$B$4/$B$5,A92/$B$5))</f>
        <v/>
      </c>
      <c r="E92" s="6">
        <f>IF(A92&gt;$B$6,0,IF(D92&lt;&gt;0,E91*(C91/D92),0))</f>
        <v/>
      </c>
      <c r="F92" s="6">
        <f>IF(A92&gt;$B$6,0,E92/$D$9)</f>
        <v/>
      </c>
      <c r="G92" s="6">
        <f>C92*F92</f>
        <v/>
      </c>
      <c r="H92" s="6">
        <f>B92*F92</f>
        <v/>
      </c>
    </row>
    <row r="93">
      <c r="A93" t="n">
        <v>82</v>
      </c>
      <c r="B93" s="6">
        <f>IF(A93&lt;$B$4,0,A93-$B$4)</f>
        <v/>
      </c>
      <c r="C93" s="6">
        <f>IF(A93&gt;$B$6,0,IF($B$7=0,$B$8,IF(A93&lt;=$B$7,$B$8*($B$7-A93),0)))</f>
        <v/>
      </c>
      <c r="D93" s="6">
        <f>IF(A93&gt;$B$6,0,IF(A93&gt;$B$4,$B$4/$B$5,A93/$B$5))</f>
        <v/>
      </c>
      <c r="E93" s="6">
        <f>IF(A93&gt;$B$6,0,IF(D93&lt;&gt;0,E92*(C92/D93),0))</f>
        <v/>
      </c>
      <c r="F93" s="6">
        <f>IF(A93&gt;$B$6,0,E93/$D$9)</f>
        <v/>
      </c>
      <c r="G93" s="6">
        <f>C93*F93</f>
        <v/>
      </c>
      <c r="H93" s="6">
        <f>B93*F93</f>
        <v/>
      </c>
    </row>
    <row r="94">
      <c r="A94" t="n">
        <v>83</v>
      </c>
      <c r="B94" s="6">
        <f>IF(A94&lt;$B$4,0,A94-$B$4)</f>
        <v/>
      </c>
      <c r="C94" s="6">
        <f>IF(A94&gt;$B$6,0,IF($B$7=0,$B$8,IF(A94&lt;=$B$7,$B$8*($B$7-A94),0)))</f>
        <v/>
      </c>
      <c r="D94" s="6">
        <f>IF(A94&gt;$B$6,0,IF(A94&gt;$B$4,$B$4/$B$5,A94/$B$5))</f>
        <v/>
      </c>
      <c r="E94" s="6">
        <f>IF(A94&gt;$B$6,0,IF(D94&lt;&gt;0,E93*(C93/D94),0))</f>
        <v/>
      </c>
      <c r="F94" s="6">
        <f>IF(A94&gt;$B$6,0,E94/$D$9)</f>
        <v/>
      </c>
      <c r="G94" s="6">
        <f>C94*F94</f>
        <v/>
      </c>
      <c r="H94" s="6">
        <f>B94*F94</f>
        <v/>
      </c>
    </row>
    <row r="95">
      <c r="A95" t="n">
        <v>84</v>
      </c>
      <c r="B95" s="6">
        <f>IF(A95&lt;$B$4,0,A95-$B$4)</f>
        <v/>
      </c>
      <c r="C95" s="6">
        <f>IF(A95&gt;$B$6,0,IF($B$7=0,$B$8,IF(A95&lt;=$B$7,$B$8*($B$7-A95),0)))</f>
        <v/>
      </c>
      <c r="D95" s="6">
        <f>IF(A95&gt;$B$6,0,IF(A95&gt;$B$4,$B$4/$B$5,A95/$B$5))</f>
        <v/>
      </c>
      <c r="E95" s="6">
        <f>IF(A95&gt;$B$6,0,IF(D95&lt;&gt;0,E94*(C94/D95),0))</f>
        <v/>
      </c>
      <c r="F95" s="6">
        <f>IF(A95&gt;$B$6,0,E95/$D$9)</f>
        <v/>
      </c>
      <c r="G95" s="6">
        <f>C95*F95</f>
        <v/>
      </c>
      <c r="H95" s="6">
        <f>B95*F95</f>
        <v/>
      </c>
    </row>
    <row r="96">
      <c r="A96" t="n">
        <v>85</v>
      </c>
      <c r="B96" s="6">
        <f>IF(A96&lt;$B$4,0,A96-$B$4)</f>
        <v/>
      </c>
      <c r="C96" s="6">
        <f>IF(A96&gt;$B$6,0,IF($B$7=0,$B$8,IF(A96&lt;=$B$7,$B$8*($B$7-A96),0)))</f>
        <v/>
      </c>
      <c r="D96" s="6">
        <f>IF(A96&gt;$B$6,0,IF(A96&gt;$B$4,$B$4/$B$5,A96/$B$5))</f>
        <v/>
      </c>
      <c r="E96" s="6">
        <f>IF(A96&gt;$B$6,0,IF(D96&lt;&gt;0,E95*(C95/D96),0))</f>
        <v/>
      </c>
      <c r="F96" s="6">
        <f>IF(A96&gt;$B$6,0,E96/$D$9)</f>
        <v/>
      </c>
      <c r="G96" s="6">
        <f>C96*F96</f>
        <v/>
      </c>
      <c r="H96" s="6">
        <f>B96*F96</f>
        <v/>
      </c>
    </row>
    <row r="97">
      <c r="A97" t="n">
        <v>86</v>
      </c>
      <c r="B97" s="6">
        <f>IF(A97&lt;$B$4,0,A97-$B$4)</f>
        <v/>
      </c>
      <c r="C97" s="6">
        <f>IF(A97&gt;$B$6,0,IF($B$7=0,$B$8,IF(A97&lt;=$B$7,$B$8*($B$7-A97),0)))</f>
        <v/>
      </c>
      <c r="D97" s="6">
        <f>IF(A97&gt;$B$6,0,IF(A97&gt;$B$4,$B$4/$B$5,A97/$B$5))</f>
        <v/>
      </c>
      <c r="E97" s="6">
        <f>IF(A97&gt;$B$6,0,IF(D97&lt;&gt;0,E96*(C96/D97),0))</f>
        <v/>
      </c>
      <c r="F97" s="6">
        <f>IF(A97&gt;$B$6,0,E97/$D$9)</f>
        <v/>
      </c>
      <c r="G97" s="6">
        <f>C97*F97</f>
        <v/>
      </c>
      <c r="H97" s="6">
        <f>B97*F97</f>
        <v/>
      </c>
    </row>
    <row r="98">
      <c r="A98" t="n">
        <v>87</v>
      </c>
      <c r="B98" s="6">
        <f>IF(A98&lt;$B$4,0,A98-$B$4)</f>
        <v/>
      </c>
      <c r="C98" s="6">
        <f>IF(A98&gt;$B$6,0,IF($B$7=0,$B$8,IF(A98&lt;=$B$7,$B$8*($B$7-A98),0)))</f>
        <v/>
      </c>
      <c r="D98" s="6">
        <f>IF(A98&gt;$B$6,0,IF(A98&gt;$B$4,$B$4/$B$5,A98/$B$5))</f>
        <v/>
      </c>
      <c r="E98" s="6">
        <f>IF(A98&gt;$B$6,0,IF(D98&lt;&gt;0,E97*(C97/D98),0))</f>
        <v/>
      </c>
      <c r="F98" s="6">
        <f>IF(A98&gt;$B$6,0,E98/$D$9)</f>
        <v/>
      </c>
      <c r="G98" s="6">
        <f>C98*F98</f>
        <v/>
      </c>
      <c r="H98" s="6">
        <f>B98*F98</f>
        <v/>
      </c>
    </row>
    <row r="99">
      <c r="A99" t="n">
        <v>88</v>
      </c>
      <c r="B99" s="6">
        <f>IF(A99&lt;$B$4,0,A99-$B$4)</f>
        <v/>
      </c>
      <c r="C99" s="6">
        <f>IF(A99&gt;$B$6,0,IF($B$7=0,$B$8,IF(A99&lt;=$B$7,$B$8*($B$7-A99),0)))</f>
        <v/>
      </c>
      <c r="D99" s="6">
        <f>IF(A99&gt;$B$6,0,IF(A99&gt;$B$4,$B$4/$B$5,A99/$B$5))</f>
        <v/>
      </c>
      <c r="E99" s="6">
        <f>IF(A99&gt;$B$6,0,IF(D99&lt;&gt;0,E98*(C98/D99),0))</f>
        <v/>
      </c>
      <c r="F99" s="6">
        <f>IF(A99&gt;$B$6,0,E99/$D$9)</f>
        <v/>
      </c>
      <c r="G99" s="6">
        <f>C99*F99</f>
        <v/>
      </c>
      <c r="H99" s="6">
        <f>B99*F99</f>
        <v/>
      </c>
    </row>
    <row r="100">
      <c r="A100" t="n">
        <v>89</v>
      </c>
      <c r="B100" s="6">
        <f>IF(A100&lt;$B$4,0,A100-$B$4)</f>
        <v/>
      </c>
      <c r="C100" s="6">
        <f>IF(A100&gt;$B$6,0,IF($B$7=0,$B$8,IF(A100&lt;=$B$7,$B$8*($B$7-A100),0)))</f>
        <v/>
      </c>
      <c r="D100" s="6">
        <f>IF(A100&gt;$B$6,0,IF(A100&gt;$B$4,$B$4/$B$5,A100/$B$5))</f>
        <v/>
      </c>
      <c r="E100" s="6">
        <f>IF(A100&gt;$B$6,0,IF(D100&lt;&gt;0,E99*(C99/D100),0))</f>
        <v/>
      </c>
      <c r="F100" s="6">
        <f>IF(A100&gt;$B$6,0,E100/$D$9)</f>
        <v/>
      </c>
      <c r="G100" s="6">
        <f>C100*F100</f>
        <v/>
      </c>
      <c r="H100" s="6">
        <f>B100*F100</f>
        <v/>
      </c>
    </row>
    <row r="101">
      <c r="A101" t="n">
        <v>90</v>
      </c>
      <c r="B101" s="6">
        <f>IF(A101&lt;$B$4,0,A101-$B$4)</f>
        <v/>
      </c>
      <c r="C101" s="6">
        <f>IF(A101&gt;$B$6,0,IF($B$7=0,$B$8,IF(A101&lt;=$B$7,$B$8*($B$7-A101),0)))</f>
        <v/>
      </c>
      <c r="D101" s="6">
        <f>IF(A101&gt;$B$6,0,IF(A101&gt;$B$4,$B$4/$B$5,A101/$B$5))</f>
        <v/>
      </c>
      <c r="E101" s="6">
        <f>IF(A101&gt;$B$6,0,IF(D101&lt;&gt;0,E100*(C100/D101),0))</f>
        <v/>
      </c>
      <c r="F101" s="6">
        <f>IF(A101&gt;$B$6,0,E101/$D$9)</f>
        <v/>
      </c>
      <c r="G101" s="6">
        <f>C101*F101</f>
        <v/>
      </c>
      <c r="H101" s="6">
        <f>B101*F101</f>
        <v/>
      </c>
    </row>
    <row r="102">
      <c r="A102" t="n">
        <v>91</v>
      </c>
      <c r="B102" s="6">
        <f>IF(A102&lt;$B$4,0,A102-$B$4)</f>
        <v/>
      </c>
      <c r="C102" s="6">
        <f>IF(A102&gt;$B$6,0,IF($B$7=0,$B$8,IF(A102&lt;=$B$7,$B$8*($B$7-A102),0)))</f>
        <v/>
      </c>
      <c r="D102" s="6">
        <f>IF(A102&gt;$B$6,0,IF(A102&gt;$B$4,$B$4/$B$5,A102/$B$5))</f>
        <v/>
      </c>
      <c r="E102" s="6">
        <f>IF(A102&gt;$B$6,0,IF(D102&lt;&gt;0,E101*(C101/D102),0))</f>
        <v/>
      </c>
      <c r="F102" s="6">
        <f>IF(A102&gt;$B$6,0,E102/$D$9)</f>
        <v/>
      </c>
      <c r="G102" s="6">
        <f>C102*F102</f>
        <v/>
      </c>
      <c r="H102" s="6">
        <f>B102*F102</f>
        <v/>
      </c>
    </row>
    <row r="103">
      <c r="A103" t="n">
        <v>92</v>
      </c>
      <c r="B103" s="6">
        <f>IF(A103&lt;$B$4,0,A103-$B$4)</f>
        <v/>
      </c>
      <c r="C103" s="6">
        <f>IF(A103&gt;$B$6,0,IF($B$7=0,$B$8,IF(A103&lt;=$B$7,$B$8*($B$7-A103),0)))</f>
        <v/>
      </c>
      <c r="D103" s="6">
        <f>IF(A103&gt;$B$6,0,IF(A103&gt;$B$4,$B$4/$B$5,A103/$B$5))</f>
        <v/>
      </c>
      <c r="E103" s="6">
        <f>IF(A103&gt;$B$6,0,IF(D103&lt;&gt;0,E102*(C102/D103),0))</f>
        <v/>
      </c>
      <c r="F103" s="6">
        <f>IF(A103&gt;$B$6,0,E103/$D$9)</f>
        <v/>
      </c>
      <c r="G103" s="6">
        <f>C103*F103</f>
        <v/>
      </c>
      <c r="H103" s="6">
        <f>B103*F103</f>
        <v/>
      </c>
    </row>
    <row r="104">
      <c r="A104" t="n">
        <v>93</v>
      </c>
      <c r="B104" s="6">
        <f>IF(A104&lt;$B$4,0,A104-$B$4)</f>
        <v/>
      </c>
      <c r="C104" s="6">
        <f>IF(A104&gt;$B$6,0,IF($B$7=0,$B$8,IF(A104&lt;=$B$7,$B$8*($B$7-A104),0)))</f>
        <v/>
      </c>
      <c r="D104" s="6">
        <f>IF(A104&gt;$B$6,0,IF(A104&gt;$B$4,$B$4/$B$5,A104/$B$5))</f>
        <v/>
      </c>
      <c r="E104" s="6">
        <f>IF(A104&gt;$B$6,0,IF(D104&lt;&gt;0,E103*(C103/D104),0))</f>
        <v/>
      </c>
      <c r="F104" s="6">
        <f>IF(A104&gt;$B$6,0,E104/$D$9)</f>
        <v/>
      </c>
      <c r="G104" s="6">
        <f>C104*F104</f>
        <v/>
      </c>
      <c r="H104" s="6">
        <f>B104*F104</f>
        <v/>
      </c>
    </row>
    <row r="105">
      <c r="A105" t="n">
        <v>94</v>
      </c>
      <c r="B105" s="6">
        <f>IF(A105&lt;$B$4,0,A105-$B$4)</f>
        <v/>
      </c>
      <c r="C105" s="6">
        <f>IF(A105&gt;$B$6,0,IF($B$7=0,$B$8,IF(A105&lt;=$B$7,$B$8*($B$7-A105),0)))</f>
        <v/>
      </c>
      <c r="D105" s="6">
        <f>IF(A105&gt;$B$6,0,IF(A105&gt;$B$4,$B$4/$B$5,A105/$B$5))</f>
        <v/>
      </c>
      <c r="E105" s="6">
        <f>IF(A105&gt;$B$6,0,IF(D105&lt;&gt;0,E104*(C104/D105),0))</f>
        <v/>
      </c>
      <c r="F105" s="6">
        <f>IF(A105&gt;$B$6,0,E105/$D$9)</f>
        <v/>
      </c>
      <c r="G105" s="6">
        <f>C105*F105</f>
        <v/>
      </c>
      <c r="H105" s="6">
        <f>B105*F105</f>
        <v/>
      </c>
    </row>
    <row r="106">
      <c r="A106" t="n">
        <v>95</v>
      </c>
      <c r="B106" s="6">
        <f>IF(A106&lt;$B$4,0,A106-$B$4)</f>
        <v/>
      </c>
      <c r="C106" s="6">
        <f>IF(A106&gt;$B$6,0,IF($B$7=0,$B$8,IF(A106&lt;=$B$7,$B$8*($B$7-A106),0)))</f>
        <v/>
      </c>
      <c r="D106" s="6">
        <f>IF(A106&gt;$B$6,0,IF(A106&gt;$B$4,$B$4/$B$5,A106/$B$5))</f>
        <v/>
      </c>
      <c r="E106" s="6">
        <f>IF(A106&gt;$B$6,0,IF(D106&lt;&gt;0,E105*(C105/D106),0))</f>
        <v/>
      </c>
      <c r="F106" s="6">
        <f>IF(A106&gt;$B$6,0,E106/$D$9)</f>
        <v/>
      </c>
      <c r="G106" s="6">
        <f>C106*F106</f>
        <v/>
      </c>
      <c r="H106" s="6">
        <f>B106*F106</f>
        <v/>
      </c>
    </row>
    <row r="107">
      <c r="A107" t="n">
        <v>96</v>
      </c>
      <c r="B107" s="6">
        <f>IF(A107&lt;$B$4,0,A107-$B$4)</f>
        <v/>
      </c>
      <c r="C107" s="6">
        <f>IF(A107&gt;$B$6,0,IF($B$7=0,$B$8,IF(A107&lt;=$B$7,$B$8*($B$7-A107),0)))</f>
        <v/>
      </c>
      <c r="D107" s="6">
        <f>IF(A107&gt;$B$6,0,IF(A107&gt;$B$4,$B$4/$B$5,A107/$B$5))</f>
        <v/>
      </c>
      <c r="E107" s="6">
        <f>IF(A107&gt;$B$6,0,IF(D107&lt;&gt;0,E106*(C106/D107),0))</f>
        <v/>
      </c>
      <c r="F107" s="6">
        <f>IF(A107&gt;$B$6,0,E107/$D$9)</f>
        <v/>
      </c>
      <c r="G107" s="6">
        <f>C107*F107</f>
        <v/>
      </c>
      <c r="H107" s="6">
        <f>B107*F107</f>
        <v/>
      </c>
    </row>
    <row r="108">
      <c r="A108" t="n">
        <v>97</v>
      </c>
      <c r="B108" s="6">
        <f>IF(A108&lt;$B$4,0,A108-$B$4)</f>
        <v/>
      </c>
      <c r="C108" s="6">
        <f>IF(A108&gt;$B$6,0,IF($B$7=0,$B$8,IF(A108&lt;=$B$7,$B$8*($B$7-A108),0)))</f>
        <v/>
      </c>
      <c r="D108" s="6">
        <f>IF(A108&gt;$B$6,0,IF(A108&gt;$B$4,$B$4/$B$5,A108/$B$5))</f>
        <v/>
      </c>
      <c r="E108" s="6">
        <f>IF(A108&gt;$B$6,0,IF(D108&lt;&gt;0,E107*(C107/D108),0))</f>
        <v/>
      </c>
      <c r="F108" s="6">
        <f>IF(A108&gt;$B$6,0,E108/$D$9)</f>
        <v/>
      </c>
      <c r="G108" s="6">
        <f>C108*F108</f>
        <v/>
      </c>
      <c r="H108" s="6">
        <f>B108*F108</f>
        <v/>
      </c>
    </row>
    <row r="109">
      <c r="A109" t="n">
        <v>98</v>
      </c>
      <c r="B109" s="6">
        <f>IF(A109&lt;$B$4,0,A109-$B$4)</f>
        <v/>
      </c>
      <c r="C109" s="6">
        <f>IF(A109&gt;$B$6,0,IF($B$7=0,$B$8,IF(A109&lt;=$B$7,$B$8*($B$7-A109),0)))</f>
        <v/>
      </c>
      <c r="D109" s="6">
        <f>IF(A109&gt;$B$6,0,IF(A109&gt;$B$4,$B$4/$B$5,A109/$B$5))</f>
        <v/>
      </c>
      <c r="E109" s="6">
        <f>IF(A109&gt;$B$6,0,IF(D109&lt;&gt;0,E108*(C108/D109),0))</f>
        <v/>
      </c>
      <c r="F109" s="6">
        <f>IF(A109&gt;$B$6,0,E109/$D$9)</f>
        <v/>
      </c>
      <c r="G109" s="6">
        <f>C109*F109</f>
        <v/>
      </c>
      <c r="H109" s="6">
        <f>B109*F109</f>
        <v/>
      </c>
    </row>
    <row r="110">
      <c r="A110" t="n">
        <v>99</v>
      </c>
      <c r="B110" s="6">
        <f>IF(A110&lt;$B$4,0,A110-$B$4)</f>
        <v/>
      </c>
      <c r="C110" s="6">
        <f>IF(A110&gt;$B$6,0,IF($B$7=0,$B$8,IF(A110&lt;=$B$7,$B$8*($B$7-A110),0)))</f>
        <v/>
      </c>
      <c r="D110" s="6">
        <f>IF(A110&gt;$B$6,0,IF(A110&gt;$B$4,$B$4/$B$5,A110/$B$5))</f>
        <v/>
      </c>
      <c r="E110" s="6">
        <f>IF(A110&gt;$B$6,0,IF(D110&lt;&gt;0,E109*(C109/D110),0))</f>
        <v/>
      </c>
      <c r="F110" s="6">
        <f>IF(A110&gt;$B$6,0,E110/$D$9)</f>
        <v/>
      </c>
      <c r="G110" s="6">
        <f>C110*F110</f>
        <v/>
      </c>
      <c r="H110" s="6">
        <f>B110*F110</f>
        <v/>
      </c>
    </row>
    <row r="111">
      <c r="A111" t="n">
        <v>100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Khanh Thuat</dc:creator>
  <dcterms:created xsi:type="dcterms:W3CDTF">2017-03-04T08:36:56Z</dcterms:created>
  <dcterms:modified xsi:type="dcterms:W3CDTF">2026-03-23T06:54:35Z</dcterms:modified>
  <cp:lastModifiedBy>Bảo Nguyễn Văn</cp:lastModifiedBy>
</cp:coreProperties>
</file>